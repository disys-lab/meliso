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2154" documentId="13_ncr:1_{4B21F078-1D86-7D42-975E-771B6217AA2A}" xr6:coauthVersionLast="47" xr6:coauthVersionMax="47" xr10:uidLastSave="{823E71BB-C26D-4C1B-9EEC-0DE850420BDB}"/>
  <bookViews>
    <workbookView xWindow="14295" yWindow="0" windowWidth="14610" windowHeight="15585" firstSheet="1" activeTab="3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7" l="1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O28" i="1"/>
  <c r="L28" i="1"/>
  <c r="K28" i="1"/>
  <c r="L35" i="1"/>
  <c r="K35" i="1"/>
  <c r="O21" i="1"/>
  <c r="L21" i="1"/>
  <c r="K21" i="1"/>
  <c r="L7" i="1"/>
  <c r="K7" i="1"/>
  <c r="O14" i="1"/>
  <c r="L14" i="1"/>
  <c r="K14" i="1"/>
  <c r="O7" i="1"/>
  <c r="T10" i="1"/>
  <c r="T6" i="1"/>
  <c r="W10" i="1"/>
  <c r="W6" i="1"/>
  <c r="W5" i="1"/>
  <c r="V10" i="1"/>
  <c r="V6" i="1"/>
  <c r="V5" i="1"/>
  <c r="U10" i="1"/>
  <c r="U6" i="1"/>
  <c r="U5" i="1"/>
  <c r="T5" i="1"/>
  <c r="R5" i="1"/>
  <c r="S5" i="1"/>
  <c r="R6" i="1"/>
  <c r="S6" i="1"/>
  <c r="R10" i="1"/>
  <c r="S10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5" i="1"/>
  <c r="O18" i="1"/>
  <c r="O26" i="1"/>
  <c r="O19" i="1"/>
  <c r="O20" i="1"/>
  <c r="O27" i="1"/>
  <c r="O13" i="1"/>
  <c r="O12" i="1"/>
  <c r="O11" i="1"/>
  <c r="O6" i="1"/>
  <c r="O5" i="1"/>
  <c r="O4" i="1"/>
  <c r="K5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L20" i="1"/>
  <c r="K20" i="1"/>
  <c r="L19" i="1"/>
  <c r="K19" i="1"/>
  <c r="L18" i="1"/>
  <c r="K18" i="1"/>
  <c r="K27" i="1"/>
  <c r="K26" i="1"/>
  <c r="L25" i="1"/>
  <c r="K25" i="1"/>
  <c r="L13" i="1"/>
  <c r="K13" i="1"/>
  <c r="L12" i="1"/>
  <c r="K12" i="1"/>
  <c r="L11" i="1"/>
  <c r="K11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<sst xmlns="http://schemas.openxmlformats.org/spreadsheetml/2006/main" count="518" uniqueCount="62">
  <si>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</si>
  <si>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</si>
  <si>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</si>
  <si>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</si>
  <si>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</si>
  <si>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</si>
  <si>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</si>
  <si>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</si>
  <si>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</si>
  <si>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</si>
  <si>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</si>
  <si>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</si>
  <si>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</si>
  <si>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</si>
  <si>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</si>
  <si>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</si>
  <si>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</si>
  <si>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</si>
  <si>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</si>
  <si>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</si>
  <si>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</si>
  <si>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</si>
  <si>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</si>
  <si>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</si>
  <si>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</si>
  <si>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</si>
  <si>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</si>
  <si>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</si>
  <si>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</si>
  <si>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</si>
  <si>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</si>
  <si>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</si>
  <si>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</si>
  <si>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</si>
  <si>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</si>
  <si>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</si>
  <si>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</si>
  <si>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</si>
  <si>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</si>
  <si>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</si>
  <si>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</si>
  <si>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</si>
  <si>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</si>
  <si>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</si>
  <si>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</si>
  <si>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</si>
  <si>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</si>
  <si>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</si>
  <si>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</si>
  <si>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</si>
  <si>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</si>
  <si>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</si>
  <si>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</si>
  <si>
    <t>Centralized Computation (Small-scale); 
Fixed Number of Iterations for Error Correction; 
Only applied Error Correction on Worst Device (a.k.a. excluding EpiRAM):
Run 10 replications for each number of iterations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</si>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</sst>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4" xfId="0" applyFill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zoomScale="85" zoomScaleNormal="85" workbookViewId="0">
      <selection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O1" s="47" t="s">
        <v>28</v>
      </c>
      <c r="P1" s="47"/>
      <c r="Q1" s="47"/>
      <c r="R1" s="47"/>
      <c r="S1" s="47"/>
      <c r="T1" s="47"/>
      <c r="U1" s="47"/>
      <c r="V1" s="47"/>
      <c r="W1" s="47"/>
      <c r="X1" s="47"/>
      <c r="Y1" s="47"/>
      <c r="AB1" s="47" t="s">
        <v>32</v>
      </c>
      <c r="AC1" s="47"/>
      <c r="AD1" s="47"/>
      <c r="AE1" s="47"/>
      <c r="AF1" s="47"/>
      <c r="AG1" s="47"/>
      <c r="AH1" s="47"/>
      <c r="AI1" s="47"/>
      <c r="AJ1" s="47"/>
      <c r="AK1" s="39"/>
      <c r="AL1" s="39"/>
      <c r="AM1" s="21"/>
      <c r="AO1" s="47" t="s">
        <v>15</v>
      </c>
      <c r="AP1" s="47"/>
      <c r="AQ1" s="47"/>
      <c r="AR1" s="47"/>
      <c r="AS1" s="47"/>
      <c r="AT1" s="47"/>
      <c r="AU1" s="47"/>
      <c r="AV1" s="47"/>
      <c r="AW1" s="47"/>
      <c r="AX1" s="39"/>
      <c r="AY1" s="39"/>
    </row>
    <row r="2" spans="2:5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O2" s="40" t="s">
        <v>19</v>
      </c>
      <c r="P2" s="41"/>
      <c r="Q2" s="42"/>
      <c r="R2" s="40" t="s">
        <v>21</v>
      </c>
      <c r="S2" s="41"/>
      <c r="T2" s="42"/>
      <c r="U2" s="43" t="s">
        <v>22</v>
      </c>
      <c r="V2" s="44"/>
      <c r="W2" s="45"/>
      <c r="X2" s="46" t="s">
        <v>16</v>
      </c>
      <c r="Y2" s="46"/>
      <c r="Z2" s="46"/>
      <c r="AA2" s="21"/>
      <c r="AB2" s="40" t="s">
        <v>19</v>
      </c>
      <c r="AC2" s="41"/>
      <c r="AD2" s="42"/>
      <c r="AE2" s="40" t="s">
        <v>21</v>
      </c>
      <c r="AF2" s="41"/>
      <c r="AG2" s="42"/>
      <c r="AH2" s="43" t="s">
        <v>22</v>
      </c>
      <c r="AI2" s="44"/>
      <c r="AJ2" s="45"/>
      <c r="AK2" s="46" t="s">
        <v>16</v>
      </c>
      <c r="AL2" s="46"/>
      <c r="AM2" s="46"/>
      <c r="AO2" s="40" t="s">
        <v>19</v>
      </c>
      <c r="AP2" s="41"/>
      <c r="AQ2" s="42"/>
      <c r="AR2" s="40" t="s">
        <v>21</v>
      </c>
      <c r="AS2" s="41"/>
      <c r="AT2" s="42"/>
      <c r="AU2" s="43" t="s">
        <v>22</v>
      </c>
      <c r="AV2" s="44"/>
      <c r="AW2" s="45"/>
      <c r="AX2" s="46" t="s">
        <v>16</v>
      </c>
      <c r="AY2" s="46"/>
      <c r="AZ2" s="46"/>
    </row>
    <row r="3" spans="2:5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O3" s="2" t="s">
        <v>20</v>
      </c>
      <c r="P3" s="2" t="s">
        <v>9</v>
      </c>
      <c r="Q3" s="25" t="s">
        <v>34</v>
      </c>
      <c r="R3" s="2" t="s">
        <v>20</v>
      </c>
      <c r="S3" s="2" t="s">
        <v>9</v>
      </c>
      <c r="T3" s="25" t="s">
        <v>34</v>
      </c>
      <c r="U3" s="8" t="s">
        <v>20</v>
      </c>
      <c r="V3" s="8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28"/>
      <c r="AB3" s="25" t="s">
        <v>20</v>
      </c>
      <c r="AC3" s="2" t="s">
        <v>9</v>
      </c>
      <c r="AD3" s="25" t="s">
        <v>34</v>
      </c>
      <c r="AE3" s="2" t="s">
        <v>20</v>
      </c>
      <c r="AF3" s="2" t="s">
        <v>9</v>
      </c>
      <c r="AG3" s="25" t="s">
        <v>34</v>
      </c>
      <c r="AH3" s="8" t="s">
        <v>20</v>
      </c>
      <c r="AI3" s="8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O3" s="25" t="s">
        <v>20</v>
      </c>
      <c r="AP3" s="2" t="s">
        <v>9</v>
      </c>
      <c r="AQ3" s="25" t="s">
        <v>34</v>
      </c>
      <c r="AR3" s="2" t="s">
        <v>20</v>
      </c>
      <c r="AS3" s="2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X3" s="8" t="s">
        <v>20</v>
      </c>
      <c r="AY3" s="8" t="s">
        <v>9</v>
      </c>
      <c r="AZ3" s="25" t="s">
        <v>34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39" t="s">
        <v>26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21"/>
      <c r="O15" s="47" t="s">
        <v>29</v>
      </c>
      <c r="P15" s="47"/>
      <c r="Q15" s="47"/>
      <c r="R15" s="47"/>
      <c r="S15" s="47"/>
      <c r="T15" s="47"/>
      <c r="U15" s="47"/>
      <c r="V15" s="47"/>
      <c r="W15" s="47"/>
      <c r="X15" s="47"/>
      <c r="Y15" s="47"/>
      <c r="AB15" s="47" t="s">
        <v>31</v>
      </c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21"/>
      <c r="AO15" s="47" t="s">
        <v>30</v>
      </c>
      <c r="AP15" s="47"/>
      <c r="AQ15" s="47"/>
      <c r="AR15" s="47"/>
      <c r="AS15" s="47"/>
      <c r="AT15" s="47"/>
      <c r="AU15" s="47"/>
      <c r="AV15" s="47"/>
      <c r="AW15" s="47"/>
      <c r="AX15" s="47"/>
      <c r="AY15" s="47"/>
    </row>
    <row r="16" spans="2:5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O16" s="40" t="s">
        <v>19</v>
      </c>
      <c r="P16" s="41"/>
      <c r="Q16" s="42"/>
      <c r="R16" s="40" t="s">
        <v>21</v>
      </c>
      <c r="S16" s="41"/>
      <c r="T16" s="42"/>
      <c r="U16" s="43" t="s">
        <v>22</v>
      </c>
      <c r="V16" s="44"/>
      <c r="W16" s="45"/>
      <c r="X16" s="46" t="s">
        <v>16</v>
      </c>
      <c r="Y16" s="46"/>
      <c r="Z16" s="46"/>
      <c r="AA16" s="21"/>
      <c r="AB16" s="40" t="s">
        <v>19</v>
      </c>
      <c r="AC16" s="41"/>
      <c r="AD16" s="42"/>
      <c r="AE16" s="40" t="s">
        <v>21</v>
      </c>
      <c r="AF16" s="41"/>
      <c r="AG16" s="42"/>
      <c r="AH16" s="43" t="s">
        <v>22</v>
      </c>
      <c r="AI16" s="44"/>
      <c r="AJ16" s="45"/>
      <c r="AK16" s="46" t="s">
        <v>16</v>
      </c>
      <c r="AL16" s="46"/>
      <c r="AM16" s="46"/>
      <c r="AO16" s="40" t="s">
        <v>19</v>
      </c>
      <c r="AP16" s="41"/>
      <c r="AQ16" s="42"/>
      <c r="AR16" s="40" t="s">
        <v>21</v>
      </c>
      <c r="AS16" s="41"/>
      <c r="AT16" s="42"/>
      <c r="AU16" s="43" t="s">
        <v>22</v>
      </c>
      <c r="AV16" s="44"/>
      <c r="AW16" s="45"/>
      <c r="AX16" s="46" t="s">
        <v>16</v>
      </c>
      <c r="AY16" s="46"/>
      <c r="AZ16" s="46"/>
    </row>
    <row r="17" spans="2:5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O17" s="2" t="s">
        <v>20</v>
      </c>
      <c r="P17" s="2" t="s">
        <v>9</v>
      </c>
      <c r="Q17" s="25" t="s">
        <v>34</v>
      </c>
      <c r="R17" s="2" t="s">
        <v>20</v>
      </c>
      <c r="S17" s="2" t="s">
        <v>9</v>
      </c>
      <c r="T17" s="25" t="s">
        <v>34</v>
      </c>
      <c r="U17" s="8" t="s">
        <v>20</v>
      </c>
      <c r="V17" s="8" t="s">
        <v>9</v>
      </c>
      <c r="W17" s="25" t="s">
        <v>34</v>
      </c>
      <c r="X17" s="8" t="s">
        <v>20</v>
      </c>
      <c r="Y17" s="8" t="s">
        <v>9</v>
      </c>
      <c r="Z17" s="25" t="s">
        <v>34</v>
      </c>
      <c r="AA17" s="28"/>
      <c r="AB17" s="25" t="s">
        <v>20</v>
      </c>
      <c r="AC17" s="2" t="s">
        <v>9</v>
      </c>
      <c r="AD17" s="25" t="s">
        <v>34</v>
      </c>
      <c r="AE17" s="2" t="s">
        <v>20</v>
      </c>
      <c r="AF17" s="2" t="s">
        <v>9</v>
      </c>
      <c r="AG17" s="25" t="s">
        <v>34</v>
      </c>
      <c r="AH17" s="8" t="s">
        <v>20</v>
      </c>
      <c r="AI17" s="8" t="s">
        <v>9</v>
      </c>
      <c r="AJ17" s="25" t="s">
        <v>34</v>
      </c>
      <c r="AK17" s="8" t="s">
        <v>20</v>
      </c>
      <c r="AL17" s="8" t="s">
        <v>9</v>
      </c>
      <c r="AM17" s="25" t="s">
        <v>34</v>
      </c>
      <c r="AO17" s="25" t="s">
        <v>20</v>
      </c>
      <c r="AP17" s="2" t="s">
        <v>9</v>
      </c>
      <c r="AQ17" s="25" t="s">
        <v>34</v>
      </c>
      <c r="AR17" s="2" t="s">
        <v>20</v>
      </c>
      <c r="AS17" s="2" t="s">
        <v>9</v>
      </c>
      <c r="AT17" s="25" t="s">
        <v>34</v>
      </c>
      <c r="AU17" s="8" t="s">
        <v>20</v>
      </c>
      <c r="AV17" s="8" t="s">
        <v>9</v>
      </c>
      <c r="AW17" s="25" t="s">
        <v>34</v>
      </c>
      <c r="AX17" s="8" t="s">
        <v>20</v>
      </c>
      <c r="AY17" s="8" t="s">
        <v>9</v>
      </c>
      <c r="AZ17" s="25" t="s">
        <v>34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6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7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6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7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6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7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6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7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6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7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6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7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6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7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6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7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6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7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6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7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AB15:AL15"/>
    <mergeCell ref="AB16:AD16"/>
    <mergeCell ref="AE16:AG16"/>
    <mergeCell ref="AH16:AJ16"/>
    <mergeCell ref="AK16:AM16"/>
    <mergeCell ref="AO15:AY15"/>
    <mergeCell ref="AO16:AQ16"/>
    <mergeCell ref="AR16:AT16"/>
    <mergeCell ref="AU16:AW16"/>
    <mergeCell ref="AX16:AZ16"/>
    <mergeCell ref="O15:Y15"/>
    <mergeCell ref="O16:Q16"/>
    <mergeCell ref="R16:T16"/>
    <mergeCell ref="U16:W16"/>
    <mergeCell ref="X16:Z16"/>
    <mergeCell ref="B15:L15"/>
    <mergeCell ref="B16:D16"/>
    <mergeCell ref="E16:G16"/>
    <mergeCell ref="H16:J16"/>
    <mergeCell ref="K16:M16"/>
    <mergeCell ref="AO1:AY1"/>
    <mergeCell ref="AO2:AQ2"/>
    <mergeCell ref="AR2:AT2"/>
    <mergeCell ref="AU2:AW2"/>
    <mergeCell ref="AX2:AZ2"/>
    <mergeCell ref="AB1:AL1"/>
    <mergeCell ref="AB2:AD2"/>
    <mergeCell ref="AE2:AG2"/>
    <mergeCell ref="AH2:AJ2"/>
    <mergeCell ref="AK2:AM2"/>
    <mergeCell ref="O1:Y1"/>
    <mergeCell ref="O2:Q2"/>
    <mergeCell ref="R2:T2"/>
    <mergeCell ref="U2:W2"/>
    <mergeCell ref="X2:Z2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59"/>
  <sheetViews>
    <sheetView zoomScale="85" zoomScaleNormal="85" workbookViewId="0">
      <selection activeCell="A3" sqref="A3:O31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35" customWidth="1"/>
    <col min="20" max="20" width="16.42578125" customWidth="1"/>
    <col min="21" max="21" width="16.7109375" customWidth="1"/>
    <col min="22" max="22" width="15.5703125" customWidth="1"/>
    <col min="23" max="23" width="15.28515625" customWidth="1"/>
  </cols>
  <sheetData>
    <row r="1" spans="1:26" s="24" customFormat="1" ht="60.75" customHeight="1" x14ac:dyDescent="0.25">
      <c r="A1" s="48" t="s">
        <v>53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s="1" customFormat="1" x14ac:dyDescent="0.25">
      <c r="M2" s="12"/>
      <c r="N2" s="15"/>
      <c r="S2" s="34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33"/>
      <c r="R3" s="36"/>
      <c r="S3" s="37"/>
      <c r="T3" s="36"/>
      <c r="U3" s="36"/>
      <c r="V3" s="36"/>
      <c r="W3" s="36"/>
    </row>
    <row r="4" spans="1:26" ht="30" x14ac:dyDescent="0.25">
      <c r="A4" s="50" t="s">
        <v>12</v>
      </c>
      <c r="B4" s="11">
        <v>1</v>
      </c>
      <c r="C4" s="54" t="s">
        <v>5</v>
      </c>
      <c r="D4" s="54">
        <v>66</v>
      </c>
      <c r="E4" s="54">
        <v>66</v>
      </c>
      <c r="F4" s="55">
        <v>13000</v>
      </c>
      <c r="G4" s="54">
        <v>1</v>
      </c>
      <c r="H4" s="54">
        <v>1</v>
      </c>
      <c r="I4" s="54">
        <v>66</v>
      </c>
      <c r="J4" s="54">
        <v>66</v>
      </c>
      <c r="K4" s="5">
        <f>AVERAGE(DataExp1.1!B4:B13)</f>
        <v>23.838309041284862</v>
      </c>
      <c r="L4" s="5">
        <f>AVERAGE(DataExp1.1!C4:C13)</f>
        <v>3.2827532251076272</v>
      </c>
      <c r="M4" s="5">
        <v>280.77705301382201</v>
      </c>
      <c r="N4" s="17">
        <v>1.24324175218449E-3</v>
      </c>
      <c r="O4" s="14">
        <f>AVERAGE(DataExp1.1!D4:D13)</f>
        <v>1.6688517570495538</v>
      </c>
      <c r="Q4" s="33" t="s">
        <v>38</v>
      </c>
      <c r="R4" s="36" t="s">
        <v>42</v>
      </c>
      <c r="S4" s="37" t="s">
        <v>43</v>
      </c>
      <c r="T4" s="36" t="s">
        <v>46</v>
      </c>
      <c r="U4" s="36" t="s">
        <v>45</v>
      </c>
      <c r="V4" s="36" t="s">
        <v>47</v>
      </c>
      <c r="W4" s="36" t="s">
        <v>48</v>
      </c>
    </row>
    <row r="5" spans="1:26" x14ac:dyDescent="0.25">
      <c r="A5" s="51"/>
      <c r="B5" s="6">
        <v>3</v>
      </c>
      <c r="C5" s="52"/>
      <c r="D5" s="52"/>
      <c r="E5" s="52"/>
      <c r="F5" s="56"/>
      <c r="G5" s="52"/>
      <c r="H5" s="52"/>
      <c r="I5" s="52"/>
      <c r="J5" s="52"/>
      <c r="K5" s="5">
        <f>AVERAGE(DataExp1.1!E4:E13)</f>
        <v>11.070752653739017</v>
      </c>
      <c r="L5" s="5">
        <f>AVERAGE(DataExp1.1!F4:F13)</f>
        <v>1.6712838772969871</v>
      </c>
      <c r="M5" s="5">
        <v>391.23075904146799</v>
      </c>
      <c r="N5" s="17">
        <v>1.8368430572894799E-3</v>
      </c>
      <c r="O5" s="14">
        <f>AVERAGE(DataExp1.1!G4:G13)</f>
        <v>1.6848387241363478</v>
      </c>
      <c r="Q5" t="s">
        <v>39</v>
      </c>
      <c r="R5" s="35">
        <f>M11/M18</f>
        <v>865.2434340049133</v>
      </c>
      <c r="S5" s="35">
        <f>N11/N18</f>
        <v>138.69732699293695</v>
      </c>
      <c r="T5" s="35">
        <f>$R$18/$S$18</f>
        <v>7.5</v>
      </c>
      <c r="U5" s="35">
        <f>$R$19/$S$19</f>
        <v>0.5862666666666666</v>
      </c>
      <c r="V5" s="35">
        <f>$R$20/$S$20</f>
        <v>68.017941414055528</v>
      </c>
      <c r="W5" s="35">
        <f>$R$24/$S$24</f>
        <v>0.88073394495412838</v>
      </c>
    </row>
    <row r="6" spans="1:26" x14ac:dyDescent="0.25">
      <c r="A6" s="51"/>
      <c r="B6" s="6">
        <v>5</v>
      </c>
      <c r="C6" s="52"/>
      <c r="D6" s="52"/>
      <c r="E6" s="52"/>
      <c r="F6" s="56"/>
      <c r="G6" s="52"/>
      <c r="H6" s="52"/>
      <c r="I6" s="52"/>
      <c r="J6" s="52"/>
      <c r="K6" s="5">
        <f>AVERAGE(DataExp1.1!H4:H13)</f>
        <v>4.7480516396353174</v>
      </c>
      <c r="L6" s="5">
        <f>AVERAGE(DataExp1.1!I4:I13)</f>
        <v>0.82681097952909732</v>
      </c>
      <c r="M6" s="5">
        <v>417.59086506911302</v>
      </c>
      <c r="N6" s="17">
        <v>1.8680991323063701E-3</v>
      </c>
      <c r="O6" s="14">
        <f>AVERAGE(DataExp1.1!J4:J13)</f>
        <v>1.7160061359405478</v>
      </c>
      <c r="Q6" t="s">
        <v>40</v>
      </c>
      <c r="R6" s="35">
        <f>M11/M25</f>
        <v>624.1828702262743</v>
      </c>
      <c r="S6" s="35">
        <f>N11/N25</f>
        <v>1013.7172322538682</v>
      </c>
      <c r="T6" s="35">
        <f>$R$18/$T$18</f>
        <v>93.75</v>
      </c>
      <c r="U6" s="35">
        <f>$R$19/$T$19</f>
        <v>0.47871529667936857</v>
      </c>
      <c r="V6" s="35">
        <f>$R$20/$T$20</f>
        <v>139.35975609756099</v>
      </c>
      <c r="W6" s="35">
        <f>$R$24/$T$24</f>
        <v>0.43340857787810377</v>
      </c>
    </row>
    <row r="7" spans="1:26" x14ac:dyDescent="0.25">
      <c r="A7" s="51"/>
      <c r="B7" s="6">
        <v>10</v>
      </c>
      <c r="C7" s="52"/>
      <c r="D7" s="52"/>
      <c r="E7" s="52"/>
      <c r="F7" s="56"/>
      <c r="G7" s="52"/>
      <c r="H7" s="52"/>
      <c r="I7" s="52"/>
      <c r="J7" s="52"/>
      <c r="K7" s="5">
        <f>AVERAGE(DataExp1.1!K4:K13)</f>
        <v>0.84932664663156276</v>
      </c>
      <c r="L7" s="5">
        <f>AVERAGE(DataExp1.1!L4:L13)</f>
        <v>0.24563346801399702</v>
      </c>
      <c r="M7" s="5">
        <v>427.43972841419099</v>
      </c>
      <c r="N7" s="17">
        <v>1.90857404909223E-3</v>
      </c>
      <c r="O7" s="14">
        <f>AVERAGE(DataExp1.1!M1:M10)</f>
        <v>1.740799522399898</v>
      </c>
      <c r="R7" s="35"/>
      <c r="T7" s="35"/>
      <c r="U7" s="35"/>
      <c r="V7" s="35"/>
      <c r="W7" s="35"/>
    </row>
    <row r="8" spans="1:26" x14ac:dyDescent="0.25">
      <c r="A8" s="51"/>
      <c r="B8" s="6">
        <v>20</v>
      </c>
      <c r="C8" s="52"/>
      <c r="D8" s="52"/>
      <c r="E8" s="52"/>
      <c r="F8" s="56"/>
      <c r="G8" s="52"/>
      <c r="H8" s="52"/>
      <c r="I8" s="52"/>
      <c r="J8" s="52"/>
      <c r="K8" s="5"/>
      <c r="L8" s="5"/>
      <c r="M8" s="5"/>
      <c r="N8" s="17"/>
      <c r="O8" s="14"/>
      <c r="R8" s="35"/>
      <c r="T8" s="35"/>
      <c r="U8" s="35"/>
      <c r="V8" s="35"/>
      <c r="W8" s="35"/>
    </row>
    <row r="9" spans="1:26" x14ac:dyDescent="0.25">
      <c r="A9" s="51"/>
      <c r="B9" s="6">
        <v>50</v>
      </c>
      <c r="C9" s="52"/>
      <c r="D9" s="52"/>
      <c r="E9" s="52"/>
      <c r="F9" s="56"/>
      <c r="G9" s="52"/>
      <c r="H9" s="52"/>
      <c r="I9" s="52"/>
      <c r="J9" s="52"/>
      <c r="K9" s="5"/>
      <c r="L9" s="5"/>
      <c r="M9" s="5"/>
      <c r="N9" s="17"/>
      <c r="O9" s="14"/>
      <c r="R9" s="35"/>
      <c r="T9" s="35"/>
      <c r="U9" s="35"/>
      <c r="V9" s="35"/>
      <c r="W9" s="35"/>
    </row>
    <row r="10" spans="1:26" x14ac:dyDescent="0.25">
      <c r="A10" s="51"/>
      <c r="B10" s="6">
        <v>100</v>
      </c>
      <c r="C10" s="52"/>
      <c r="D10" s="52"/>
      <c r="E10" s="52"/>
      <c r="F10" s="56"/>
      <c r="G10" s="52"/>
      <c r="H10" s="52"/>
      <c r="I10" s="52"/>
      <c r="J10" s="52"/>
      <c r="K10" s="5"/>
      <c r="L10" s="5"/>
      <c r="M10" s="5"/>
      <c r="N10" s="17"/>
      <c r="O10" s="14"/>
      <c r="Q10" t="s">
        <v>41</v>
      </c>
      <c r="R10" s="35">
        <f>M11/M32</f>
        <v>3.7461133543762633E-2</v>
      </c>
      <c r="S10" s="35">
        <f>N11/N32</f>
        <v>3.0787899849979556</v>
      </c>
      <c r="T10" s="35">
        <f>$R$18/$U$18</f>
        <v>1.1764705882352941E-2</v>
      </c>
      <c r="U10" s="35">
        <f>$R$19/$U$19</f>
        <v>1.3352566049195262</v>
      </c>
      <c r="V10" s="35">
        <f>$R$20/$U$20</f>
        <v>3152.4137931034484</v>
      </c>
      <c r="W10" s="35">
        <f>$R$24/$U$24</f>
        <v>3.3516209476309227</v>
      </c>
    </row>
    <row r="11" spans="1:26" x14ac:dyDescent="0.25">
      <c r="A11" s="52" t="s">
        <v>13</v>
      </c>
      <c r="B11" s="3">
        <v>1</v>
      </c>
      <c r="C11" s="52"/>
      <c r="D11" s="52"/>
      <c r="E11" s="52"/>
      <c r="F11" s="56"/>
      <c r="G11" s="52"/>
      <c r="H11" s="52"/>
      <c r="I11" s="52"/>
      <c r="J11" s="52"/>
      <c r="K11" s="4">
        <f>AVERAGE(DataExp1.1!O4:O13)</f>
        <v>49.821904185231844</v>
      </c>
      <c r="L11" s="4">
        <f>AVERAGE(DataExp1.1!P4:P13)</f>
        <v>6.6901005257882433</v>
      </c>
      <c r="M11" s="4">
        <v>38.8018530138228</v>
      </c>
      <c r="N11" s="18">
        <v>1.8341564911519399E-2</v>
      </c>
      <c r="O11" s="4">
        <f>AVERAGE(DataExp1.1!Q4:Q13)</f>
        <v>1.6223374366760202</v>
      </c>
    </row>
    <row r="12" spans="1:26" x14ac:dyDescent="0.25">
      <c r="A12" s="52"/>
      <c r="B12" s="3">
        <v>3</v>
      </c>
      <c r="C12" s="52"/>
      <c r="D12" s="52"/>
      <c r="E12" s="52"/>
      <c r="F12" s="56"/>
      <c r="G12" s="52"/>
      <c r="H12" s="52"/>
      <c r="I12" s="52"/>
      <c r="J12" s="52"/>
      <c r="K12" s="4">
        <f>AVERAGE(DataExp1.1!R4:R13)</f>
        <v>2.2585080679270888</v>
      </c>
      <c r="L12" s="4">
        <f>AVERAGE(DataExp1.1!S4:S13)</f>
        <v>0.46312458447019578</v>
      </c>
      <c r="M12" s="4">
        <v>73.281259041468303</v>
      </c>
      <c r="N12" s="18">
        <v>3.8957965924184199E-2</v>
      </c>
      <c r="O12" s="4">
        <f>AVERAGE(DataExp1.1!T4:T13)</f>
        <v>1.6586509227752639</v>
      </c>
    </row>
    <row r="13" spans="1:26" x14ac:dyDescent="0.25">
      <c r="A13" s="52"/>
      <c r="B13" s="3">
        <v>5</v>
      </c>
      <c r="C13" s="52"/>
      <c r="D13" s="52"/>
      <c r="E13" s="52"/>
      <c r="F13" s="56"/>
      <c r="G13" s="52"/>
      <c r="H13" s="52"/>
      <c r="I13" s="52"/>
      <c r="J13" s="52"/>
      <c r="K13" s="4">
        <f>AVERAGE(DataExp1.1!U4:U13)</f>
        <v>2.4443213833989064</v>
      </c>
      <c r="L13" s="4">
        <f>AVERAGE(DataExp1.1!V4:V13)</f>
        <v>0.67972664412295081</v>
      </c>
      <c r="M13" s="4">
        <v>77.092715069113893</v>
      </c>
      <c r="N13" s="18">
        <v>4.1758142847234302E-2</v>
      </c>
      <c r="O13" s="4">
        <f>AVERAGE(DataExp1.1!W4:W13)</f>
        <v>1.7100264072418159</v>
      </c>
    </row>
    <row r="14" spans="1:26" x14ac:dyDescent="0.25">
      <c r="A14" s="52"/>
      <c r="B14" s="3">
        <v>10</v>
      </c>
      <c r="C14" s="52"/>
      <c r="D14" s="52"/>
      <c r="E14" s="52"/>
      <c r="F14" s="56"/>
      <c r="G14" s="52"/>
      <c r="H14" s="52"/>
      <c r="I14" s="52"/>
      <c r="J14" s="52"/>
      <c r="K14" s="4">
        <f>AVERAGE(DataExp1.1!X4:X13)</f>
        <v>2.0470536852897636</v>
      </c>
      <c r="L14" s="4">
        <f>AVERAGE(DataExp1.1!Y4:Y13)</f>
        <v>0.42174105651815957</v>
      </c>
      <c r="M14" s="4">
        <v>76.300224110581993</v>
      </c>
      <c r="N14" s="18">
        <v>4.0673431385843499E-2</v>
      </c>
      <c r="O14" s="4">
        <f>AVERAGE(DataExp1.1!Z4:Z13)</f>
        <v>1.7285686492919858</v>
      </c>
    </row>
    <row r="15" spans="1:26" x14ac:dyDescent="0.25">
      <c r="A15" s="52"/>
      <c r="B15" s="3">
        <v>20</v>
      </c>
      <c r="C15" s="52"/>
      <c r="D15" s="52"/>
      <c r="E15" s="52"/>
      <c r="F15" s="56"/>
      <c r="G15" s="52"/>
      <c r="H15" s="52"/>
      <c r="I15" s="52"/>
      <c r="J15" s="52"/>
      <c r="K15" s="4"/>
      <c r="L15" s="4"/>
      <c r="M15" s="4"/>
      <c r="N15" s="18"/>
      <c r="O15" s="4"/>
    </row>
    <row r="16" spans="1:26" x14ac:dyDescent="0.25">
      <c r="A16" s="52"/>
      <c r="B16" s="3">
        <v>50</v>
      </c>
      <c r="C16" s="52"/>
      <c r="D16" s="52"/>
      <c r="E16" s="52"/>
      <c r="F16" s="56"/>
      <c r="G16" s="52"/>
      <c r="H16" s="52"/>
      <c r="I16" s="52"/>
      <c r="J16" s="52"/>
      <c r="K16" s="4"/>
      <c r="L16" s="4"/>
      <c r="M16" s="4"/>
      <c r="N16" s="18"/>
      <c r="O16" s="4"/>
    </row>
    <row r="17" spans="1:23" x14ac:dyDescent="0.25">
      <c r="A17" s="52"/>
      <c r="B17" s="3">
        <v>100</v>
      </c>
      <c r="C17" s="52"/>
      <c r="D17" s="52"/>
      <c r="E17" s="52"/>
      <c r="F17" s="56"/>
      <c r="G17" s="52"/>
      <c r="H17" s="52"/>
      <c r="I17" s="52"/>
      <c r="J17" s="52"/>
      <c r="K17" s="4"/>
      <c r="L17" s="4"/>
      <c r="M17" s="4"/>
      <c r="N17" s="18"/>
      <c r="O17" s="4"/>
      <c r="R17" t="s">
        <v>12</v>
      </c>
      <c r="S17" s="35" t="s">
        <v>13</v>
      </c>
      <c r="T17" t="s">
        <v>14</v>
      </c>
      <c r="U17" t="s">
        <v>44</v>
      </c>
    </row>
    <row r="18" spans="1:23" x14ac:dyDescent="0.25">
      <c r="A18" s="53" t="s">
        <v>14</v>
      </c>
      <c r="B18" s="32">
        <v>1</v>
      </c>
      <c r="C18" s="52"/>
      <c r="D18" s="52"/>
      <c r="E18" s="52"/>
      <c r="F18" s="56"/>
      <c r="G18" s="52"/>
      <c r="H18" s="52"/>
      <c r="I18" s="52"/>
      <c r="J18" s="52"/>
      <c r="K18" s="22">
        <f>AVERAGE(DataExp1.1!AB4:AB13)</f>
        <v>2.0194039548285878</v>
      </c>
      <c r="L18" s="22">
        <f>AVERAGE(DataExp1.1!AC4:AC13)</f>
        <v>0.37754673426285007</v>
      </c>
      <c r="M18" s="22">
        <v>4.4845012962678503E-2</v>
      </c>
      <c r="N18" s="23">
        <v>1.32241661098872E-4</v>
      </c>
      <c r="O18" s="22">
        <f>AVERAGE(DataExp1.1!AD4:AD13)</f>
        <v>0.14992039203643773</v>
      </c>
      <c r="Q18" t="s">
        <v>49</v>
      </c>
      <c r="R18" s="15">
        <v>420000000</v>
      </c>
      <c r="S18" s="15">
        <v>56000000</v>
      </c>
      <c r="T18" s="20">
        <v>4480000</v>
      </c>
      <c r="U18" s="20">
        <v>35700000000</v>
      </c>
    </row>
    <row r="19" spans="1:23" x14ac:dyDescent="0.25">
      <c r="A19" s="53"/>
      <c r="B19" s="32">
        <v>3</v>
      </c>
      <c r="C19" s="52"/>
      <c r="D19" s="52"/>
      <c r="E19" s="52"/>
      <c r="F19" s="56"/>
      <c r="G19" s="52"/>
      <c r="H19" s="52"/>
      <c r="I19" s="52"/>
      <c r="J19" s="52"/>
      <c r="K19" s="22">
        <f>AVERAGE(DataExp1.1!AE4:AE13)</f>
        <v>3.0323916470832399</v>
      </c>
      <c r="L19" s="22">
        <f>AVERAGE(DataExp1.1!AF4:AF13)</f>
        <v>0.65287517616761293</v>
      </c>
      <c r="M19" s="22">
        <v>4.4845012962678503E-2</v>
      </c>
      <c r="N19" s="23">
        <v>1.3223489288371801E-4</v>
      </c>
      <c r="O19" s="22">
        <f>AVERAGE(DataExp1.1!AG4:AG13)</f>
        <v>0.15916876792907658</v>
      </c>
      <c r="Q19" t="s">
        <v>51</v>
      </c>
      <c r="R19">
        <v>87.94</v>
      </c>
      <c r="S19" s="35">
        <v>150</v>
      </c>
      <c r="T19">
        <v>183.7</v>
      </c>
      <c r="U19" s="35">
        <v>65.86</v>
      </c>
    </row>
    <row r="20" spans="1:23" x14ac:dyDescent="0.25">
      <c r="A20" s="53"/>
      <c r="B20" s="32">
        <v>5</v>
      </c>
      <c r="C20" s="52"/>
      <c r="D20" s="52"/>
      <c r="E20" s="52"/>
      <c r="F20" s="56"/>
      <c r="G20" s="52"/>
      <c r="H20" s="52"/>
      <c r="I20" s="52"/>
      <c r="J20" s="52"/>
      <c r="K20" s="22">
        <f>AVERAGE(DataExp1.1!AH4:AH13)</f>
        <v>3.0970657292831891</v>
      </c>
      <c r="L20" s="22">
        <f>AVERAGE(DataExp1.1!AI4:AI13)</f>
        <v>0.65291309034907874</v>
      </c>
      <c r="M20" s="22">
        <v>4.78425388880356E-2</v>
      </c>
      <c r="N20" s="23">
        <v>1.33917051049755E-4</v>
      </c>
      <c r="O20" s="22">
        <f>AVERAGE(DataExp1.1!AJ4:AJ13)</f>
        <v>0.18022336959838842</v>
      </c>
      <c r="Q20" t="s">
        <v>52</v>
      </c>
      <c r="R20">
        <v>31997</v>
      </c>
      <c r="S20" s="35">
        <v>470.42</v>
      </c>
      <c r="T20">
        <v>229.6</v>
      </c>
      <c r="U20">
        <v>10.15</v>
      </c>
    </row>
    <row r="21" spans="1:23" x14ac:dyDescent="0.25">
      <c r="A21" s="53"/>
      <c r="B21" s="32">
        <v>10</v>
      </c>
      <c r="C21" s="52"/>
      <c r="D21" s="52"/>
      <c r="E21" s="52"/>
      <c r="F21" s="56"/>
      <c r="G21" s="52"/>
      <c r="H21" s="52"/>
      <c r="I21" s="52"/>
      <c r="J21" s="52"/>
      <c r="K21" s="22">
        <f>AVERAGE(DataExp1.1!AK4:AK13)</f>
        <v>3.0304601968108664</v>
      </c>
      <c r="L21" s="22">
        <f>AVERAGE(DataExp1.1!AL4:AL13)</f>
        <v>0.65218430526407922</v>
      </c>
      <c r="M21" s="22">
        <v>4.7875038888035598E-2</v>
      </c>
      <c r="N21" s="23">
        <v>1.33921911090507E-4</v>
      </c>
      <c r="O21" s="22">
        <f>AVERAGE(DataExp1.1!AM4:AM13)</f>
        <v>0.1679047107696528</v>
      </c>
    </row>
    <row r="22" spans="1:23" x14ac:dyDescent="0.25">
      <c r="A22" s="53"/>
      <c r="B22" s="32">
        <v>20</v>
      </c>
      <c r="C22" s="52"/>
      <c r="D22" s="52"/>
      <c r="E22" s="52"/>
      <c r="F22" s="56"/>
      <c r="G22" s="52"/>
      <c r="H22" s="52"/>
      <c r="I22" s="52"/>
      <c r="J22" s="52"/>
      <c r="K22" s="22"/>
      <c r="L22" s="22"/>
      <c r="M22" s="22"/>
      <c r="N22" s="23"/>
      <c r="O22" s="22"/>
    </row>
    <row r="23" spans="1:23" x14ac:dyDescent="0.25">
      <c r="A23" s="53"/>
      <c r="B23" s="32">
        <v>50</v>
      </c>
      <c r="C23" s="52"/>
      <c r="D23" s="52"/>
      <c r="E23" s="52"/>
      <c r="F23" s="56"/>
      <c r="G23" s="52"/>
      <c r="H23" s="52"/>
      <c r="I23" s="52"/>
      <c r="J23" s="52"/>
      <c r="K23" s="22"/>
      <c r="L23" s="22"/>
      <c r="M23" s="22"/>
      <c r="N23" s="23"/>
      <c r="O23" s="22"/>
    </row>
    <row r="24" spans="1:23" x14ac:dyDescent="0.25">
      <c r="A24" s="53"/>
      <c r="B24" s="32">
        <v>100</v>
      </c>
      <c r="C24" s="52"/>
      <c r="D24" s="52"/>
      <c r="E24" s="52"/>
      <c r="F24" s="56"/>
      <c r="G24" s="52"/>
      <c r="H24" s="52"/>
      <c r="I24" s="52"/>
      <c r="J24" s="52"/>
      <c r="K24" s="22"/>
      <c r="L24" s="22"/>
      <c r="M24" s="22"/>
      <c r="N24" s="23"/>
      <c r="O24" s="22"/>
      <c r="Q24" t="s">
        <v>50</v>
      </c>
      <c r="R24">
        <v>13.44</v>
      </c>
      <c r="S24" s="35">
        <v>15.26</v>
      </c>
      <c r="T24">
        <v>31.01</v>
      </c>
      <c r="U24">
        <v>4.01</v>
      </c>
    </row>
    <row r="25" spans="1:23" x14ac:dyDescent="0.25">
      <c r="A25" s="52" t="s">
        <v>15</v>
      </c>
      <c r="B25" s="3">
        <v>1</v>
      </c>
      <c r="C25" s="52"/>
      <c r="D25" s="52"/>
      <c r="E25" s="52"/>
      <c r="F25" s="56"/>
      <c r="G25" s="52"/>
      <c r="H25" s="52"/>
      <c r="I25" s="52"/>
      <c r="J25" s="52"/>
      <c r="K25" s="4">
        <f>AVERAGE(DataExp1.1!AO4:AO13)</f>
        <v>34.552311810658352</v>
      </c>
      <c r="L25" s="4">
        <f>AVERAGE(DataExp1.1!AP4:AP13)</f>
        <v>4.575032042937762</v>
      </c>
      <c r="M25" s="4">
        <v>6.2164238822761397E-2</v>
      </c>
      <c r="N25" s="18">
        <v>1.8093373899484099E-5</v>
      </c>
      <c r="O25" s="4">
        <f>AVERAGE(DataExp1.1!AQ4:AQ13)</f>
        <v>1.6018030881881669</v>
      </c>
    </row>
    <row r="26" spans="1:23" x14ac:dyDescent="0.25">
      <c r="A26" s="52"/>
      <c r="B26" s="3">
        <v>3</v>
      </c>
      <c r="C26" s="52"/>
      <c r="D26" s="52"/>
      <c r="E26" s="52"/>
      <c r="F26" s="56"/>
      <c r="G26" s="52"/>
      <c r="H26" s="52"/>
      <c r="I26" s="52"/>
      <c r="J26" s="52"/>
      <c r="K26" s="4">
        <f>AVERAGE(DataExp1.1!AR4:AR14)</f>
        <v>1.8560190453181431</v>
      </c>
      <c r="L26" s="4">
        <f>AVERAGE(DataExp1.1!AS4:AS14)</f>
        <v>0.34311024868513884</v>
      </c>
      <c r="M26" s="4">
        <v>8.8175866468285097E-2</v>
      </c>
      <c r="N26" s="18">
        <v>2.79669169855113E-5</v>
      </c>
      <c r="O26" s="4">
        <f>AVERAGE(DataExp1.1!AT4:AT13)</f>
        <v>1.6889492511749222</v>
      </c>
    </row>
    <row r="27" spans="1:23" x14ac:dyDescent="0.25">
      <c r="A27" s="52"/>
      <c r="B27" s="3">
        <v>5</v>
      </c>
      <c r="C27" s="52"/>
      <c r="D27" s="52"/>
      <c r="E27" s="52"/>
      <c r="F27" s="56"/>
      <c r="G27" s="52"/>
      <c r="H27" s="52"/>
      <c r="I27" s="52"/>
      <c r="J27" s="52"/>
      <c r="K27" s="4">
        <f>AVERAGE(DataExp1.1!AU4:AU13)</f>
        <v>1.9127433590347436</v>
      </c>
      <c r="L27" s="4">
        <f>AVERAGE(DataExp1.1!AV4:AV13)</f>
        <v>0.35326132701310653</v>
      </c>
      <c r="M27" s="4">
        <v>8.8376119113808799E-2</v>
      </c>
      <c r="N27" s="18">
        <v>2.8023187480955202E-5</v>
      </c>
      <c r="O27" s="4">
        <f>AVERAGE(DataExp1.1!AW4:AW13)</f>
        <v>1.7003351620265386</v>
      </c>
    </row>
    <row r="28" spans="1:23" x14ac:dyDescent="0.25">
      <c r="A28" s="52"/>
      <c r="B28" s="3">
        <v>10</v>
      </c>
      <c r="C28" s="52"/>
      <c r="D28" s="52"/>
      <c r="E28" s="52"/>
      <c r="F28" s="56"/>
      <c r="G28" s="52"/>
      <c r="H28" s="52"/>
      <c r="I28" s="52"/>
      <c r="J28" s="52"/>
      <c r="K28" s="4">
        <f>AVERAGE(DataExp1.1!AX4:AX13)</f>
        <v>1.9259347567178799</v>
      </c>
      <c r="L28" s="4">
        <f>AVERAGE(DataExp1.1!AY4:AY13)</f>
        <v>0.35326486945372448</v>
      </c>
      <c r="M28" s="4">
        <v>8.81585941138084E-2</v>
      </c>
      <c r="N28" s="18">
        <v>2.7971865110220399E-5</v>
      </c>
      <c r="O28" s="4">
        <f>AVERAGE(DataExp1.1!AZ4:AZ13)</f>
        <v>1.6923342704772899</v>
      </c>
    </row>
    <row r="29" spans="1:23" x14ac:dyDescent="0.25">
      <c r="A29" s="52"/>
      <c r="B29" s="3">
        <v>20</v>
      </c>
      <c r="C29" s="52"/>
      <c r="D29" s="52"/>
      <c r="E29" s="52"/>
      <c r="F29" s="56"/>
      <c r="G29" s="52"/>
      <c r="H29" s="52"/>
      <c r="I29" s="52"/>
      <c r="J29" s="52"/>
      <c r="K29" s="4"/>
      <c r="L29" s="4"/>
      <c r="M29" s="4"/>
      <c r="N29" s="18"/>
      <c r="O29" s="4"/>
    </row>
    <row r="30" spans="1:23" x14ac:dyDescent="0.25">
      <c r="A30" s="52"/>
      <c r="B30" s="3">
        <v>50</v>
      </c>
      <c r="C30" s="52"/>
      <c r="D30" s="52"/>
      <c r="E30" s="52"/>
      <c r="F30" s="56"/>
      <c r="G30" s="52"/>
      <c r="H30" s="52"/>
      <c r="I30" s="52"/>
      <c r="J30" s="52"/>
      <c r="K30" s="4"/>
      <c r="L30" s="4"/>
      <c r="M30" s="4"/>
      <c r="N30" s="18"/>
      <c r="O30" s="4"/>
    </row>
    <row r="31" spans="1:23" x14ac:dyDescent="0.25">
      <c r="A31" s="52"/>
      <c r="B31" s="3">
        <v>100</v>
      </c>
      <c r="C31" s="52"/>
      <c r="D31" s="52"/>
      <c r="E31" s="52"/>
      <c r="F31" s="54"/>
      <c r="G31" s="52"/>
      <c r="H31" s="52"/>
      <c r="I31" s="52"/>
      <c r="J31" s="52"/>
      <c r="K31" s="4"/>
      <c r="L31" s="4"/>
      <c r="M31" s="4"/>
      <c r="N31" s="18"/>
      <c r="O31" s="4"/>
    </row>
    <row r="32" spans="1:23" ht="30" x14ac:dyDescent="0.25">
      <c r="A32" s="59" t="s">
        <v>12</v>
      </c>
      <c r="B32" s="3">
        <v>1</v>
      </c>
      <c r="C32" s="52" t="s">
        <v>24</v>
      </c>
      <c r="D32" s="52">
        <v>128</v>
      </c>
      <c r="E32" s="52">
        <v>128</v>
      </c>
      <c r="F32" s="60">
        <v>1.1200000000000001</v>
      </c>
      <c r="G32" s="52">
        <v>1</v>
      </c>
      <c r="H32" s="52">
        <v>1</v>
      </c>
      <c r="I32" s="52">
        <v>128</v>
      </c>
      <c r="J32" s="52">
        <v>128</v>
      </c>
      <c r="K32" s="3">
        <f>AVERAGE(DataExp1.1!B18:B27)</f>
        <v>65.766764930924992</v>
      </c>
      <c r="L32" s="3">
        <f>AVERAGE(DataExp1.1!C18:C27)</f>
        <v>6.4421864526712369</v>
      </c>
      <c r="M32" s="4">
        <v>1035.7896129462799</v>
      </c>
      <c r="N32" s="18">
        <v>5.95739397649482E-3</v>
      </c>
      <c r="O32" s="4">
        <v>12.759822845458901</v>
      </c>
      <c r="Q32" s="33" t="s">
        <v>38</v>
      </c>
      <c r="R32" s="36" t="s">
        <v>42</v>
      </c>
      <c r="S32" s="37" t="s">
        <v>43</v>
      </c>
      <c r="T32" s="36" t="s">
        <v>46</v>
      </c>
      <c r="U32" s="36" t="s">
        <v>45</v>
      </c>
      <c r="V32" s="36" t="s">
        <v>47</v>
      </c>
      <c r="W32" s="36" t="s">
        <v>48</v>
      </c>
    </row>
    <row r="33" spans="1:23" x14ac:dyDescent="0.25">
      <c r="A33" s="59"/>
      <c r="B33" s="3">
        <v>3</v>
      </c>
      <c r="C33" s="52"/>
      <c r="D33" s="52"/>
      <c r="E33" s="52"/>
      <c r="F33" s="56"/>
      <c r="G33" s="52"/>
      <c r="H33" s="52"/>
      <c r="I33" s="52"/>
      <c r="J33" s="52"/>
      <c r="K33" s="3">
        <f>AVERAGE(DataExp1.1!E18:E27)</f>
        <v>38.626208042487967</v>
      </c>
      <c r="L33" s="3">
        <f>AVERAGE(DataExp1.1!F18:F27)</f>
        <v>4.0285688713895276</v>
      </c>
      <c r="M33" s="4">
        <v>1685.75088883886</v>
      </c>
      <c r="N33" s="18">
        <v>1.1219430173259401E-2</v>
      </c>
      <c r="O33" s="4">
        <v>12.8247382640838</v>
      </c>
      <c r="Q33" t="s">
        <v>39</v>
      </c>
      <c r="R33" s="7"/>
      <c r="T33" s="35"/>
      <c r="U33" s="35"/>
      <c r="V33" s="35"/>
      <c r="W33" s="35"/>
    </row>
    <row r="34" spans="1:23" x14ac:dyDescent="0.25">
      <c r="A34" s="59"/>
      <c r="B34" s="3">
        <v>5</v>
      </c>
      <c r="C34" s="52"/>
      <c r="D34" s="52"/>
      <c r="E34" s="52"/>
      <c r="F34" s="56"/>
      <c r="G34" s="52"/>
      <c r="H34" s="52"/>
      <c r="I34" s="52"/>
      <c r="J34" s="52"/>
      <c r="K34" s="3">
        <f>AVERAGE(DataExp1.1!H18:H27)</f>
        <v>19.080341123339618</v>
      </c>
      <c r="L34" s="3">
        <f>AVERAGE(DataExp1.1!I18:I27)</f>
        <v>2.3385643979886401</v>
      </c>
      <c r="M34" s="4">
        <v>1984.11291473147</v>
      </c>
      <c r="N34" s="18">
        <v>1.31972764989438E-2</v>
      </c>
      <c r="O34" s="4">
        <v>12.9234986305236</v>
      </c>
      <c r="Q34" t="s">
        <v>40</v>
      </c>
      <c r="R34" s="7"/>
      <c r="T34" s="35"/>
      <c r="U34" s="35"/>
      <c r="V34" s="35"/>
      <c r="W34" s="35"/>
    </row>
    <row r="35" spans="1:23" x14ac:dyDescent="0.25">
      <c r="A35" s="59"/>
      <c r="B35" s="3">
        <v>10</v>
      </c>
      <c r="C35" s="52"/>
      <c r="D35" s="52"/>
      <c r="E35" s="52"/>
      <c r="F35" s="56"/>
      <c r="G35" s="52"/>
      <c r="H35" s="52"/>
      <c r="I35" s="52"/>
      <c r="J35" s="52"/>
      <c r="K35" s="3">
        <f>AVERAGE(DataExp1.1!K18:K27)</f>
        <v>4.4322830974230261</v>
      </c>
      <c r="L35" s="3">
        <f>AVERAGE(DataExp1.1!L18:L27)</f>
        <v>0.72280862455750228</v>
      </c>
      <c r="M35" s="4">
        <v>2183.88837946289</v>
      </c>
      <c r="N35" s="18">
        <v>1.4378549136786E-2</v>
      </c>
      <c r="O35" s="4">
        <v>14.266155481338499</v>
      </c>
      <c r="R35" s="7"/>
      <c r="T35" s="35"/>
      <c r="U35" s="35"/>
      <c r="V35" s="35"/>
      <c r="W35" s="35"/>
    </row>
    <row r="36" spans="1:23" x14ac:dyDescent="0.25">
      <c r="A36" s="59"/>
      <c r="B36" s="3">
        <v>20</v>
      </c>
      <c r="C36" s="52"/>
      <c r="D36" s="52"/>
      <c r="E36" s="52"/>
      <c r="F36" s="56"/>
      <c r="G36" s="52"/>
      <c r="H36" s="52"/>
      <c r="I36" s="52"/>
      <c r="J36" s="52"/>
      <c r="K36" s="3"/>
      <c r="L36" s="3"/>
      <c r="M36" s="4"/>
      <c r="N36" s="18"/>
      <c r="O36" s="4"/>
      <c r="R36" s="7"/>
      <c r="T36" s="35"/>
      <c r="U36" s="35"/>
      <c r="V36" s="35"/>
      <c r="W36" s="35"/>
    </row>
    <row r="37" spans="1:23" x14ac:dyDescent="0.25">
      <c r="A37" s="59"/>
      <c r="B37" s="3">
        <v>50</v>
      </c>
      <c r="C37" s="52"/>
      <c r="D37" s="52"/>
      <c r="E37" s="52"/>
      <c r="F37" s="56"/>
      <c r="G37" s="52"/>
      <c r="H37" s="52"/>
      <c r="I37" s="52"/>
      <c r="J37" s="52"/>
      <c r="K37" s="3"/>
      <c r="L37" s="3"/>
      <c r="M37" s="4"/>
      <c r="N37" s="18"/>
      <c r="O37" s="4"/>
      <c r="R37" s="7"/>
      <c r="T37" s="35"/>
      <c r="U37" s="35"/>
      <c r="V37" s="35"/>
      <c r="W37" s="35"/>
    </row>
    <row r="38" spans="1:23" x14ac:dyDescent="0.25">
      <c r="A38" s="59"/>
      <c r="B38" s="3">
        <v>100</v>
      </c>
      <c r="C38" s="52"/>
      <c r="D38" s="52"/>
      <c r="E38" s="52"/>
      <c r="F38" s="56"/>
      <c r="G38" s="52"/>
      <c r="H38" s="52"/>
      <c r="I38" s="52"/>
      <c r="J38" s="52"/>
      <c r="K38" s="3"/>
      <c r="L38" s="3"/>
      <c r="M38" s="4"/>
      <c r="N38" s="18"/>
      <c r="O38" s="4"/>
      <c r="R38" s="7"/>
      <c r="T38" s="35"/>
      <c r="U38" s="35"/>
      <c r="V38" s="35"/>
      <c r="W38" s="35"/>
    </row>
    <row r="39" spans="1:23" x14ac:dyDescent="0.25">
      <c r="A39" s="57" t="s">
        <v>13</v>
      </c>
      <c r="B39" s="9">
        <v>1</v>
      </c>
      <c r="C39" s="52"/>
      <c r="D39" s="52"/>
      <c r="E39" s="52"/>
      <c r="F39" s="56"/>
      <c r="G39" s="52"/>
      <c r="H39" s="52"/>
      <c r="I39" s="52"/>
      <c r="J39" s="52"/>
      <c r="K39" s="9">
        <f>AVERAGE(DataExp1.1!O18:O27)</f>
        <v>157.51141235842792</v>
      </c>
      <c r="L39" s="9">
        <f>AVERAGE(DataExp1.1!P18:P27)</f>
        <v>14.53758931210613</v>
      </c>
      <c r="M39" s="14">
        <v>140.34726294628899</v>
      </c>
      <c r="N39" s="19">
        <v>8.6437071411442801E-2</v>
      </c>
      <c r="O39" s="14">
        <v>12.795346260070801</v>
      </c>
    </row>
    <row r="40" spans="1:23" x14ac:dyDescent="0.25">
      <c r="A40" s="57"/>
      <c r="B40" s="9">
        <v>3</v>
      </c>
      <c r="C40" s="52"/>
      <c r="D40" s="52"/>
      <c r="E40" s="52"/>
      <c r="F40" s="56"/>
      <c r="G40" s="52"/>
      <c r="H40" s="52"/>
      <c r="I40" s="52"/>
      <c r="J40" s="52"/>
      <c r="K40" s="9">
        <f>AVERAGE(DataExp1.1!R18:R27)</f>
        <v>5.370568162007002</v>
      </c>
      <c r="L40" s="9">
        <f>AVERAGE(DataExp1.1!S18:S27)</f>
        <v>0.75080168785316326</v>
      </c>
      <c r="M40" s="14">
        <v>336.02303883887203</v>
      </c>
      <c r="N40" s="19">
        <v>0.307117723102377</v>
      </c>
      <c r="O40" s="14">
        <v>12.8078730106353</v>
      </c>
    </row>
    <row r="41" spans="1:23" x14ac:dyDescent="0.25">
      <c r="A41" s="57"/>
      <c r="B41" s="9">
        <v>5</v>
      </c>
      <c r="C41" s="52"/>
      <c r="D41" s="52"/>
      <c r="E41" s="52"/>
      <c r="F41" s="56"/>
      <c r="G41" s="52"/>
      <c r="H41" s="52"/>
      <c r="I41" s="52"/>
      <c r="J41" s="52"/>
      <c r="K41" s="9">
        <f>AVERAGE(DataExp1.1!U18:U27)</f>
        <v>6.130019567236074</v>
      </c>
      <c r="L41" s="9">
        <f>AVERAGE(DataExp1.1!V18:V27)</f>
        <v>0.89446390885782068</v>
      </c>
      <c r="M41" s="14">
        <v>351.22411473145002</v>
      </c>
      <c r="N41" s="19">
        <v>0.31561186164217703</v>
      </c>
      <c r="O41" s="14">
        <v>26.1628239154815</v>
      </c>
    </row>
    <row r="42" spans="1:23" x14ac:dyDescent="0.25">
      <c r="A42" s="57"/>
      <c r="B42" s="9">
        <v>10</v>
      </c>
      <c r="C42" s="52"/>
      <c r="D42" s="52"/>
      <c r="E42" s="52"/>
      <c r="F42" s="56"/>
      <c r="G42" s="52"/>
      <c r="H42" s="52"/>
      <c r="I42" s="52"/>
      <c r="J42" s="52"/>
      <c r="K42" s="9">
        <f>AVERAGE(DataExp1.1!X18:X27)</f>
        <v>6.2926813963615427</v>
      </c>
      <c r="L42" s="9">
        <f>AVERAGE(DataExp1.1!Y18:Y27)</f>
        <v>0.87768383162899821</v>
      </c>
      <c r="M42" s="14">
        <v>357.21115357032102</v>
      </c>
      <c r="N42" s="19">
        <v>0.31739714978690298</v>
      </c>
      <c r="O42" s="14">
        <v>26.592686176299999</v>
      </c>
    </row>
    <row r="43" spans="1:23" x14ac:dyDescent="0.25">
      <c r="A43" s="57"/>
      <c r="B43" s="9">
        <v>20</v>
      </c>
      <c r="C43" s="52"/>
      <c r="D43" s="52"/>
      <c r="E43" s="52"/>
      <c r="F43" s="56"/>
      <c r="G43" s="52"/>
      <c r="H43" s="52"/>
      <c r="I43" s="52"/>
      <c r="J43" s="52"/>
      <c r="K43" s="9"/>
      <c r="L43" s="9"/>
      <c r="M43" s="14"/>
      <c r="N43" s="19"/>
      <c r="O43" s="14"/>
    </row>
    <row r="44" spans="1:23" x14ac:dyDescent="0.25">
      <c r="A44" s="57"/>
      <c r="B44" s="9">
        <v>50</v>
      </c>
      <c r="C44" s="52"/>
      <c r="D44" s="52"/>
      <c r="E44" s="52"/>
      <c r="F44" s="56"/>
      <c r="G44" s="52"/>
      <c r="H44" s="52"/>
      <c r="I44" s="52"/>
      <c r="J44" s="52"/>
      <c r="K44" s="9"/>
      <c r="L44" s="9"/>
      <c r="M44" s="14"/>
      <c r="N44" s="19"/>
      <c r="O44" s="14"/>
    </row>
    <row r="45" spans="1:23" x14ac:dyDescent="0.25">
      <c r="A45" s="57"/>
      <c r="B45" s="9">
        <v>100</v>
      </c>
      <c r="C45" s="52"/>
      <c r="D45" s="52"/>
      <c r="E45" s="52"/>
      <c r="F45" s="56"/>
      <c r="G45" s="52"/>
      <c r="H45" s="52"/>
      <c r="I45" s="52"/>
      <c r="J45" s="52"/>
      <c r="K45" s="9"/>
      <c r="L45" s="9"/>
      <c r="M45" s="14"/>
      <c r="N45" s="19"/>
      <c r="O45" s="9"/>
    </row>
    <row r="46" spans="1:23" x14ac:dyDescent="0.25">
      <c r="A46" s="58" t="s">
        <v>14</v>
      </c>
      <c r="B46" s="32">
        <v>1</v>
      </c>
      <c r="C46" s="52"/>
      <c r="D46" s="52"/>
      <c r="E46" s="52"/>
      <c r="F46" s="56"/>
      <c r="G46" s="52"/>
      <c r="H46" s="52"/>
      <c r="I46" s="52"/>
      <c r="J46" s="52"/>
      <c r="K46" s="22">
        <f>AVERAGE(DataExp1.1!AB18:AB27)</f>
        <v>13.2679396369752</v>
      </c>
      <c r="L46" s="22">
        <f>AVERAGE(DataExp1.1!AC18:AC27)</f>
        <v>1.5714615342167302</v>
      </c>
      <c r="M46" s="22">
        <v>8.3970028801535798E-2</v>
      </c>
      <c r="N46" s="23">
        <v>3.6284487521842497E-5</v>
      </c>
      <c r="O46" s="22">
        <v>0.30750107765197698</v>
      </c>
    </row>
    <row r="47" spans="1:23" x14ac:dyDescent="0.25">
      <c r="A47" s="58"/>
      <c r="B47" s="32">
        <v>3</v>
      </c>
      <c r="C47" s="52"/>
      <c r="D47" s="52"/>
      <c r="E47" s="52"/>
      <c r="F47" s="56"/>
      <c r="G47" s="52"/>
      <c r="H47" s="52"/>
      <c r="I47" s="52"/>
      <c r="J47" s="52"/>
      <c r="K47" s="22">
        <f>AVERAGE(DataExp1.1!AE18:AE27)</f>
        <v>1.8847515193214188</v>
      </c>
      <c r="L47" s="22">
        <f>AVERAGE(DataExp1.1!AF18:AF27)</f>
        <v>0.44815003866496461</v>
      </c>
      <c r="M47" s="22">
        <v>9.5270057603071695E-2</v>
      </c>
      <c r="N47" s="23">
        <v>4.9660843797880298E-5</v>
      </c>
      <c r="O47" s="22">
        <v>0.36651349067687899</v>
      </c>
    </row>
    <row r="48" spans="1:23" x14ac:dyDescent="0.25">
      <c r="A48" s="58"/>
      <c r="B48" s="32">
        <v>5</v>
      </c>
      <c r="C48" s="52"/>
      <c r="D48" s="52"/>
      <c r="E48" s="52"/>
      <c r="F48" s="56"/>
      <c r="G48" s="52"/>
      <c r="H48" s="52"/>
      <c r="I48" s="52"/>
      <c r="J48" s="52"/>
      <c r="K48" s="22">
        <f>AVERAGE(DataExp1.1!AH18:AH27)</f>
        <v>1.9167287224860321</v>
      </c>
      <c r="L48" s="22">
        <f>AVERAGE(DataExp1.1!AI18:AI27)</f>
        <v>0.473754446095489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58"/>
      <c r="B49" s="38">
        <v>10</v>
      </c>
      <c r="C49" s="52"/>
      <c r="D49" s="52"/>
      <c r="E49" s="52"/>
      <c r="F49" s="56"/>
      <c r="G49" s="52"/>
      <c r="H49" s="52"/>
      <c r="I49" s="52"/>
      <c r="J49" s="52"/>
      <c r="K49" s="22">
        <f>AVERAGE(DataExp1.1!AK18:AK27)</f>
        <v>1.9152230126798291</v>
      </c>
      <c r="L49" s="22">
        <f>AVERAGE(DataExp1.1!AL18:AL27)</f>
        <v>0.473754446095489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58"/>
      <c r="B50" s="38">
        <v>20</v>
      </c>
      <c r="C50" s="52"/>
      <c r="D50" s="52"/>
      <c r="E50" s="52"/>
      <c r="F50" s="56"/>
      <c r="G50" s="52"/>
      <c r="H50" s="52"/>
      <c r="I50" s="52"/>
      <c r="J50" s="52"/>
      <c r="K50" s="22"/>
      <c r="L50" s="22"/>
      <c r="M50" s="22"/>
      <c r="N50" s="23"/>
      <c r="O50" s="22"/>
    </row>
    <row r="51" spans="1:15" x14ac:dyDescent="0.25">
      <c r="A51" s="58"/>
      <c r="B51" s="38">
        <v>50</v>
      </c>
      <c r="C51" s="52"/>
      <c r="D51" s="52"/>
      <c r="E51" s="52"/>
      <c r="F51" s="56"/>
      <c r="G51" s="52"/>
      <c r="H51" s="52"/>
      <c r="I51" s="52"/>
      <c r="J51" s="52"/>
      <c r="K51" s="22"/>
      <c r="L51" s="22"/>
      <c r="M51" s="22"/>
      <c r="N51" s="23"/>
      <c r="O51" s="22"/>
    </row>
    <row r="52" spans="1:15" x14ac:dyDescent="0.25">
      <c r="A52" s="58"/>
      <c r="B52" s="38">
        <v>100</v>
      </c>
      <c r="C52" s="52"/>
      <c r="D52" s="52"/>
      <c r="E52" s="52"/>
      <c r="F52" s="56"/>
      <c r="G52" s="52"/>
      <c r="H52" s="52"/>
      <c r="I52" s="52"/>
      <c r="J52" s="52"/>
      <c r="K52" s="32"/>
      <c r="L52" s="32"/>
      <c r="M52" s="22"/>
      <c r="N52" s="23"/>
      <c r="O52" s="32"/>
    </row>
    <row r="53" spans="1:15" x14ac:dyDescent="0.25">
      <c r="A53" s="57" t="s">
        <v>15</v>
      </c>
      <c r="B53" s="9">
        <v>1</v>
      </c>
      <c r="C53" s="52"/>
      <c r="D53" s="52"/>
      <c r="E53" s="52"/>
      <c r="F53" s="56"/>
      <c r="G53" s="52"/>
      <c r="H53" s="52"/>
      <c r="I53" s="52"/>
      <c r="J53" s="52"/>
      <c r="K53" s="14">
        <f>AVERAGE(DataExp1.1!AO18:AO27)</f>
        <v>59.79535904859479</v>
      </c>
      <c r="L53" s="14">
        <f>AVERAGE(DataExp1.1!AP18:AP27)</f>
        <v>5.6632343066267472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57"/>
      <c r="B54" s="9">
        <v>3</v>
      </c>
      <c r="C54" s="52"/>
      <c r="D54" s="52"/>
      <c r="E54" s="52"/>
      <c r="F54" s="56"/>
      <c r="G54" s="52"/>
      <c r="H54" s="52"/>
      <c r="I54" s="52"/>
      <c r="J54" s="52"/>
      <c r="K54" s="14">
        <f>AVERAGE(DataExp1.1!AR18:AR27)</f>
        <v>4.1994209587286191</v>
      </c>
      <c r="L54" s="14">
        <f>AVERAGE(DataExp1.1!AS18:AS27)</f>
        <v>0.76532657737815013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57"/>
      <c r="B55" s="9">
        <v>5</v>
      </c>
      <c r="C55" s="52"/>
      <c r="D55" s="52"/>
      <c r="E55" s="52"/>
      <c r="F55" s="56"/>
      <c r="G55" s="52"/>
      <c r="H55" s="52"/>
      <c r="I55" s="52"/>
      <c r="J55" s="52"/>
      <c r="K55" s="14">
        <f>AVERAGE(DataExp1.1!AU18:AU27)</f>
        <v>4.4246201292478027</v>
      </c>
      <c r="L55" s="14">
        <f>AVERAGE(DataExp1.1!AV18:AV27)</f>
        <v>0.76976707295684066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57"/>
      <c r="B56" s="9">
        <v>10</v>
      </c>
      <c r="C56" s="52"/>
      <c r="D56" s="52"/>
      <c r="E56" s="52"/>
      <c r="F56" s="56"/>
      <c r="G56" s="52"/>
      <c r="H56" s="52"/>
      <c r="I56" s="52"/>
      <c r="J56" s="52"/>
      <c r="K56" s="14">
        <f>AVERAGE(DataExp1.1!AX18:AX27)</f>
        <v>4.1938757256751718</v>
      </c>
      <c r="L56" s="14">
        <f>AVERAGE(DataExp1.1!AY18:AY27)</f>
        <v>0.76280764413276991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57"/>
      <c r="B57" s="9">
        <v>20</v>
      </c>
      <c r="C57" s="52"/>
      <c r="D57" s="52"/>
      <c r="E57" s="52"/>
      <c r="F57" s="56"/>
      <c r="G57" s="52"/>
      <c r="H57" s="52"/>
      <c r="I57" s="52"/>
      <c r="J57" s="52"/>
      <c r="K57" s="14"/>
      <c r="L57" s="14"/>
      <c r="M57" s="14"/>
      <c r="N57" s="19"/>
      <c r="O57" s="14"/>
    </row>
    <row r="58" spans="1:15" x14ac:dyDescent="0.25">
      <c r="A58" s="57"/>
      <c r="B58" s="9">
        <v>50</v>
      </c>
      <c r="C58" s="52"/>
      <c r="D58" s="52"/>
      <c r="E58" s="52"/>
      <c r="F58" s="56"/>
      <c r="G58" s="52"/>
      <c r="H58" s="52"/>
      <c r="I58" s="52"/>
      <c r="J58" s="52"/>
      <c r="K58" s="14"/>
      <c r="L58" s="14"/>
      <c r="M58" s="14"/>
      <c r="N58" s="19"/>
      <c r="O58" s="14"/>
    </row>
    <row r="59" spans="1:15" x14ac:dyDescent="0.25">
      <c r="A59" s="57"/>
      <c r="B59" s="9">
        <v>100</v>
      </c>
      <c r="C59" s="52"/>
      <c r="D59" s="52"/>
      <c r="E59" s="52"/>
      <c r="F59" s="54"/>
      <c r="G59" s="52"/>
      <c r="H59" s="52"/>
      <c r="I59" s="52"/>
      <c r="J59" s="52"/>
      <c r="K59" s="9"/>
      <c r="L59" s="9"/>
      <c r="M59" s="14"/>
      <c r="N59" s="19"/>
      <c r="O59" s="9"/>
    </row>
  </sheetData>
  <mergeCells count="25"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  <mergeCell ref="A1:Z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31" zoomScale="115" zoomScaleNormal="115" workbookViewId="0">
      <selection activeCell="G50" sqref="G50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1" max="11" width="9.42578125" bestFit="1" customWidth="1"/>
    <col min="13" max="13" width="8.140625" bestFit="1" customWidth="1"/>
    <col min="14" max="14" width="9.42578125" bestFit="1" customWidth="1"/>
  </cols>
  <sheetData>
    <row r="1" spans="2:22" x14ac:dyDescent="0.25">
      <c r="B1" s="39" t="s">
        <v>56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</row>
    <row r="2" spans="2:2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57</v>
      </c>
      <c r="O2" s="46"/>
      <c r="P2" s="46"/>
      <c r="Q2" s="46" t="s">
        <v>58</v>
      </c>
      <c r="R2" s="46"/>
      <c r="S2" s="46"/>
      <c r="T2" s="46" t="s">
        <v>35</v>
      </c>
      <c r="U2" s="46"/>
      <c r="V2" s="46"/>
    </row>
    <row r="3" spans="2:2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Q3" s="8" t="s">
        <v>20</v>
      </c>
      <c r="R3" s="8" t="s">
        <v>9</v>
      </c>
      <c r="S3" s="25" t="s">
        <v>34</v>
      </c>
      <c r="T3" s="8" t="s">
        <v>20</v>
      </c>
      <c r="U3" s="8" t="s">
        <v>9</v>
      </c>
      <c r="V3" s="25" t="s">
        <v>34</v>
      </c>
    </row>
    <row r="4" spans="2:22" x14ac:dyDescent="0.25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 x14ac:dyDescent="0.25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 x14ac:dyDescent="0.25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 x14ac:dyDescent="0.25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 x14ac:dyDescent="0.25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5">
      <c r="B14" s="7"/>
      <c r="C14" s="7"/>
      <c r="D14" s="7"/>
    </row>
    <row r="15" spans="2:22" x14ac:dyDescent="0.25">
      <c r="B15" s="39" t="s">
        <v>59</v>
      </c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21"/>
    </row>
    <row r="16" spans="2:2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N16" s="46" t="s">
        <v>57</v>
      </c>
      <c r="O16" s="46"/>
      <c r="P16" s="46"/>
      <c r="Q16" s="46" t="s">
        <v>58</v>
      </c>
      <c r="R16" s="46"/>
      <c r="S16" s="46"/>
      <c r="T16" s="46" t="s">
        <v>35</v>
      </c>
      <c r="U16" s="46"/>
      <c r="V16" s="46"/>
    </row>
    <row r="17" spans="2:2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N17" s="8" t="s">
        <v>20</v>
      </c>
      <c r="O17" s="8" t="s">
        <v>9</v>
      </c>
      <c r="P17" s="25" t="s">
        <v>34</v>
      </c>
      <c r="Q17" s="8" t="s">
        <v>20</v>
      </c>
      <c r="R17" s="8" t="s">
        <v>9</v>
      </c>
      <c r="S17" s="25" t="s">
        <v>34</v>
      </c>
      <c r="T17" s="8" t="s">
        <v>20</v>
      </c>
      <c r="U17" s="8" t="s">
        <v>9</v>
      </c>
      <c r="V17" s="25" t="s">
        <v>34</v>
      </c>
    </row>
    <row r="18" spans="2:22" x14ac:dyDescent="0.25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 x14ac:dyDescent="0.25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5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5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5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5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5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5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5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5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5">
      <c r="B29" s="39" t="s">
        <v>60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21"/>
    </row>
    <row r="30" spans="2:22" x14ac:dyDescent="0.25">
      <c r="B30" s="40" t="s">
        <v>19</v>
      </c>
      <c r="C30" s="41"/>
      <c r="D30" s="42"/>
      <c r="E30" s="40" t="s">
        <v>21</v>
      </c>
      <c r="F30" s="41"/>
      <c r="G30" s="42"/>
      <c r="H30" s="43" t="s">
        <v>22</v>
      </c>
      <c r="I30" s="44"/>
      <c r="J30" s="45"/>
      <c r="K30" s="46" t="s">
        <v>16</v>
      </c>
      <c r="L30" s="46"/>
      <c r="M30" s="46"/>
      <c r="N30" s="46" t="s">
        <v>57</v>
      </c>
      <c r="O30" s="46"/>
      <c r="P30" s="46"/>
      <c r="Q30" s="46" t="s">
        <v>58</v>
      </c>
      <c r="R30" s="46"/>
      <c r="S30" s="46"/>
      <c r="T30" s="46" t="s">
        <v>35</v>
      </c>
      <c r="U30" s="46"/>
      <c r="V30" s="46"/>
    </row>
    <row r="31" spans="2:22" ht="45" x14ac:dyDescent="0.25">
      <c r="B31" s="2" t="s">
        <v>20</v>
      </c>
      <c r="C31" s="2" t="s">
        <v>9</v>
      </c>
      <c r="D31" s="25" t="s">
        <v>34</v>
      </c>
      <c r="E31" s="2" t="s">
        <v>20</v>
      </c>
      <c r="F31" s="2" t="s">
        <v>9</v>
      </c>
      <c r="G31" s="25" t="s">
        <v>34</v>
      </c>
      <c r="H31" s="8" t="s">
        <v>20</v>
      </c>
      <c r="I31" s="8" t="s">
        <v>9</v>
      </c>
      <c r="J31" s="25" t="s">
        <v>34</v>
      </c>
      <c r="K31" s="8" t="s">
        <v>20</v>
      </c>
      <c r="L31" s="8" t="s">
        <v>9</v>
      </c>
      <c r="M31" s="25" t="s">
        <v>34</v>
      </c>
      <c r="N31" s="8" t="s">
        <v>20</v>
      </c>
      <c r="O31" s="8" t="s">
        <v>9</v>
      </c>
      <c r="P31" s="25" t="s">
        <v>34</v>
      </c>
      <c r="Q31" s="8" t="s">
        <v>20</v>
      </c>
      <c r="R31" s="8" t="s">
        <v>9</v>
      </c>
      <c r="S31" s="25" t="s">
        <v>34</v>
      </c>
      <c r="T31" s="8" t="s">
        <v>20</v>
      </c>
      <c r="U31" s="8" t="s">
        <v>9</v>
      </c>
      <c r="V31" s="25" t="s">
        <v>34</v>
      </c>
    </row>
    <row r="32" spans="2:22" x14ac:dyDescent="0.25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5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5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5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5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5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5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5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5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5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5">
      <c r="B43" s="39" t="s">
        <v>61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21"/>
    </row>
    <row r="44" spans="2:22" x14ac:dyDescent="0.25">
      <c r="B44" s="40" t="s">
        <v>19</v>
      </c>
      <c r="C44" s="41"/>
      <c r="D44" s="42"/>
      <c r="E44" s="40" t="s">
        <v>21</v>
      </c>
      <c r="F44" s="41"/>
      <c r="G44" s="42"/>
      <c r="H44" s="43" t="s">
        <v>22</v>
      </c>
      <c r="I44" s="44"/>
      <c r="J44" s="45"/>
      <c r="K44" s="46" t="s">
        <v>16</v>
      </c>
      <c r="L44" s="46"/>
      <c r="M44" s="46"/>
      <c r="N44" s="46" t="s">
        <v>57</v>
      </c>
      <c r="O44" s="46"/>
      <c r="P44" s="46"/>
      <c r="Q44" s="46" t="s">
        <v>58</v>
      </c>
      <c r="R44" s="46"/>
      <c r="S44" s="46"/>
      <c r="T44" s="46" t="s">
        <v>35</v>
      </c>
      <c r="U44" s="46"/>
      <c r="V44" s="46"/>
    </row>
    <row r="45" spans="2:22" ht="45" x14ac:dyDescent="0.25">
      <c r="B45" s="2" t="s">
        <v>20</v>
      </c>
      <c r="C45" s="2" t="s">
        <v>9</v>
      </c>
      <c r="D45" s="25" t="s">
        <v>34</v>
      </c>
      <c r="E45" s="2" t="s">
        <v>20</v>
      </c>
      <c r="F45" s="2" t="s">
        <v>9</v>
      </c>
      <c r="G45" s="25" t="s">
        <v>34</v>
      </c>
      <c r="H45" s="8" t="s">
        <v>20</v>
      </c>
      <c r="I45" s="8" t="s">
        <v>9</v>
      </c>
      <c r="J45" s="25" t="s">
        <v>34</v>
      </c>
      <c r="K45" s="8" t="s">
        <v>20</v>
      </c>
      <c r="L45" s="8" t="s">
        <v>9</v>
      </c>
      <c r="M45" s="25" t="s">
        <v>34</v>
      </c>
      <c r="N45" s="8" t="s">
        <v>20</v>
      </c>
      <c r="O45" s="8" t="s">
        <v>9</v>
      </c>
      <c r="P45" s="25" t="s">
        <v>34</v>
      </c>
      <c r="Q45" s="8" t="s">
        <v>20</v>
      </c>
      <c r="R45" s="8" t="s">
        <v>9</v>
      </c>
      <c r="S45" s="25" t="s">
        <v>34</v>
      </c>
      <c r="T45" s="8" t="s">
        <v>20</v>
      </c>
      <c r="U45" s="8" t="s">
        <v>9</v>
      </c>
      <c r="V45" s="25" t="s">
        <v>34</v>
      </c>
    </row>
    <row r="46" spans="2:22" x14ac:dyDescent="0.25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5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5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5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5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5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5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5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5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5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1:L1"/>
    <mergeCell ref="B2:D2"/>
    <mergeCell ref="E2:G2"/>
    <mergeCell ref="H2:J2"/>
    <mergeCell ref="K2:M2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abSelected="1" topLeftCell="G1" workbookViewId="0">
      <selection activeCell="M27" sqref="M27"/>
    </sheetView>
  </sheetViews>
  <sheetFormatPr defaultRowHeight="15" x14ac:dyDescent="0.25"/>
  <cols>
    <col min="3" max="3" width="22.5703125" bestFit="1" customWidth="1"/>
    <col min="6" max="6" width="13" customWidth="1"/>
    <col min="11" max="11" width="9.5703125" bestFit="1" customWidth="1"/>
    <col min="13" max="13" width="9.5703125" bestFit="1" customWidth="1"/>
    <col min="14" max="14" width="8.28515625" bestFit="1" customWidth="1"/>
  </cols>
  <sheetData>
    <row r="1" spans="1:26" ht="75" customHeight="1" x14ac:dyDescent="0.25">
      <c r="A1" s="48" t="s">
        <v>54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</row>
    <row r="4" spans="1:26" x14ac:dyDescent="0.25">
      <c r="A4" s="50" t="s">
        <v>12</v>
      </c>
      <c r="B4" s="11">
        <v>1</v>
      </c>
      <c r="C4" s="54" t="s">
        <v>55</v>
      </c>
      <c r="D4" s="54">
        <v>1025</v>
      </c>
      <c r="E4" s="54">
        <v>1025</v>
      </c>
      <c r="F4" s="55"/>
      <c r="G4" s="54">
        <v>8</v>
      </c>
      <c r="H4" s="54">
        <v>8</v>
      </c>
      <c r="I4" s="54">
        <v>128</v>
      </c>
      <c r="J4" s="54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 x14ac:dyDescent="0.25">
      <c r="A5" s="51"/>
      <c r="B5" s="6">
        <v>3</v>
      </c>
      <c r="C5" s="52"/>
      <c r="D5" s="52"/>
      <c r="E5" s="52"/>
      <c r="F5" s="56"/>
      <c r="G5" s="52"/>
      <c r="H5" s="52"/>
      <c r="I5" s="52"/>
      <c r="J5" s="52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 x14ac:dyDescent="0.25">
      <c r="A6" s="51"/>
      <c r="B6" s="6">
        <v>5</v>
      </c>
      <c r="C6" s="52"/>
      <c r="D6" s="52"/>
      <c r="E6" s="52"/>
      <c r="F6" s="56"/>
      <c r="G6" s="52"/>
      <c r="H6" s="52"/>
      <c r="I6" s="52"/>
      <c r="J6" s="52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 x14ac:dyDescent="0.25">
      <c r="A7" s="51"/>
      <c r="B7" s="6">
        <v>10</v>
      </c>
      <c r="C7" s="52"/>
      <c r="D7" s="52"/>
      <c r="E7" s="52"/>
      <c r="F7" s="56"/>
      <c r="G7" s="52"/>
      <c r="H7" s="52"/>
      <c r="I7" s="52"/>
      <c r="J7" s="52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 x14ac:dyDescent="0.25">
      <c r="A8" s="51"/>
      <c r="B8" s="6">
        <v>20</v>
      </c>
      <c r="C8" s="52"/>
      <c r="D8" s="52"/>
      <c r="E8" s="52"/>
      <c r="F8" s="56"/>
      <c r="G8" s="52"/>
      <c r="H8" s="52"/>
      <c r="I8" s="52"/>
      <c r="J8" s="52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 x14ac:dyDescent="0.25">
      <c r="A9" s="51"/>
      <c r="B9" s="6">
        <v>50</v>
      </c>
      <c r="C9" s="52"/>
      <c r="D9" s="52"/>
      <c r="E9" s="52"/>
      <c r="F9" s="56"/>
      <c r="G9" s="52"/>
      <c r="H9" s="52"/>
      <c r="I9" s="52"/>
      <c r="J9" s="52"/>
      <c r="K9" s="5"/>
      <c r="L9" s="5"/>
      <c r="M9" s="5"/>
      <c r="N9" s="17"/>
      <c r="O9" s="14"/>
    </row>
    <row r="10" spans="1:26" x14ac:dyDescent="0.25">
      <c r="A10" s="51"/>
      <c r="B10" s="6">
        <v>100</v>
      </c>
      <c r="C10" s="52"/>
      <c r="D10" s="52"/>
      <c r="E10" s="52"/>
      <c r="F10" s="56"/>
      <c r="G10" s="52"/>
      <c r="H10" s="52"/>
      <c r="I10" s="52"/>
      <c r="J10" s="52"/>
      <c r="K10" s="5"/>
      <c r="L10" s="5"/>
      <c r="M10" s="5"/>
      <c r="N10" s="17"/>
      <c r="O10" s="14"/>
    </row>
    <row r="11" spans="1:26" x14ac:dyDescent="0.25">
      <c r="A11" s="52" t="s">
        <v>13</v>
      </c>
      <c r="B11" s="3">
        <v>1</v>
      </c>
      <c r="C11" s="52"/>
      <c r="D11" s="52"/>
      <c r="E11" s="52"/>
      <c r="F11" s="56"/>
      <c r="G11" s="52"/>
      <c r="H11" s="52"/>
      <c r="I11" s="52"/>
      <c r="J11" s="52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 x14ac:dyDescent="0.25">
      <c r="A12" s="52"/>
      <c r="B12" s="3">
        <v>3</v>
      </c>
      <c r="C12" s="52"/>
      <c r="D12" s="52"/>
      <c r="E12" s="52"/>
      <c r="F12" s="56"/>
      <c r="G12" s="52"/>
      <c r="H12" s="52"/>
      <c r="I12" s="52"/>
      <c r="J12" s="52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 x14ac:dyDescent="0.25">
      <c r="A13" s="52"/>
      <c r="B13" s="3">
        <v>5</v>
      </c>
      <c r="C13" s="52"/>
      <c r="D13" s="52"/>
      <c r="E13" s="52"/>
      <c r="F13" s="56"/>
      <c r="G13" s="52"/>
      <c r="H13" s="52"/>
      <c r="I13" s="52"/>
      <c r="J13" s="52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 x14ac:dyDescent="0.25">
      <c r="A14" s="52"/>
      <c r="B14" s="3">
        <v>10</v>
      </c>
      <c r="C14" s="52"/>
      <c r="D14" s="52"/>
      <c r="E14" s="52"/>
      <c r="F14" s="56"/>
      <c r="G14" s="52"/>
      <c r="H14" s="52"/>
      <c r="I14" s="52"/>
      <c r="J14" s="52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 x14ac:dyDescent="0.25">
      <c r="A15" s="52"/>
      <c r="B15" s="3">
        <v>20</v>
      </c>
      <c r="C15" s="52"/>
      <c r="D15" s="52"/>
      <c r="E15" s="52"/>
      <c r="F15" s="56"/>
      <c r="G15" s="52"/>
      <c r="H15" s="52"/>
      <c r="I15" s="52"/>
      <c r="J15" s="52"/>
      <c r="K15" s="4"/>
      <c r="L15" s="4"/>
      <c r="M15" s="4">
        <v>479.01929800970601</v>
      </c>
      <c r="N15" s="18">
        <v>0.57817838930787602</v>
      </c>
      <c r="O15" s="4"/>
    </row>
    <row r="16" spans="1:26" x14ac:dyDescent="0.25">
      <c r="A16" s="52"/>
      <c r="B16" s="3">
        <v>50</v>
      </c>
      <c r="C16" s="52"/>
      <c r="D16" s="52"/>
      <c r="E16" s="52"/>
      <c r="F16" s="56"/>
      <c r="G16" s="52"/>
      <c r="H16" s="52"/>
      <c r="I16" s="52"/>
      <c r="J16" s="52"/>
      <c r="K16" s="4"/>
      <c r="L16" s="4"/>
      <c r="M16" s="4"/>
      <c r="N16" s="18"/>
      <c r="O16" s="4"/>
    </row>
    <row r="17" spans="1:15" x14ac:dyDescent="0.25">
      <c r="A17" s="52"/>
      <c r="B17" s="3">
        <v>100</v>
      </c>
      <c r="C17" s="52"/>
      <c r="D17" s="52"/>
      <c r="E17" s="52"/>
      <c r="F17" s="56"/>
      <c r="G17" s="52"/>
      <c r="H17" s="52"/>
      <c r="I17" s="52"/>
      <c r="J17" s="52"/>
      <c r="K17" s="4"/>
      <c r="L17" s="4"/>
      <c r="M17" s="4"/>
      <c r="N17" s="18"/>
      <c r="O17" s="4"/>
    </row>
    <row r="18" spans="1:15" x14ac:dyDescent="0.25">
      <c r="A18" s="57" t="s">
        <v>14</v>
      </c>
      <c r="B18" s="9">
        <v>1</v>
      </c>
      <c r="C18" s="52"/>
      <c r="D18" s="52"/>
      <c r="E18" s="52"/>
      <c r="F18" s="56"/>
      <c r="G18" s="52"/>
      <c r="H18" s="52"/>
      <c r="I18" s="52"/>
      <c r="J18" s="52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 x14ac:dyDescent="0.25">
      <c r="A19" s="57"/>
      <c r="B19" s="9">
        <v>3</v>
      </c>
      <c r="C19" s="52"/>
      <c r="D19" s="52"/>
      <c r="E19" s="52"/>
      <c r="F19" s="56"/>
      <c r="G19" s="52"/>
      <c r="H19" s="52"/>
      <c r="I19" s="52"/>
      <c r="J19" s="52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 x14ac:dyDescent="0.25">
      <c r="A20" s="57"/>
      <c r="B20" s="9">
        <v>5</v>
      </c>
      <c r="C20" s="52"/>
      <c r="D20" s="52"/>
      <c r="E20" s="52"/>
      <c r="F20" s="56"/>
      <c r="G20" s="52"/>
      <c r="H20" s="52"/>
      <c r="I20" s="52"/>
      <c r="J20" s="52"/>
      <c r="K20" s="14"/>
      <c r="L20" s="14"/>
      <c r="M20" s="14"/>
      <c r="N20" s="19"/>
      <c r="O20" s="14"/>
    </row>
    <row r="21" spans="1:15" x14ac:dyDescent="0.25">
      <c r="A21" s="57"/>
      <c r="B21" s="9">
        <v>10</v>
      </c>
      <c r="C21" s="52"/>
      <c r="D21" s="52"/>
      <c r="E21" s="52"/>
      <c r="F21" s="56"/>
      <c r="G21" s="52"/>
      <c r="H21" s="52"/>
      <c r="I21" s="52"/>
      <c r="J21" s="52"/>
      <c r="K21" s="14"/>
      <c r="L21" s="14"/>
      <c r="M21" s="14"/>
      <c r="N21" s="19"/>
      <c r="O21" s="14"/>
    </row>
    <row r="22" spans="1:15" x14ac:dyDescent="0.25">
      <c r="A22" s="57"/>
      <c r="B22" s="9">
        <v>20</v>
      </c>
      <c r="C22" s="52"/>
      <c r="D22" s="52"/>
      <c r="E22" s="52"/>
      <c r="F22" s="56"/>
      <c r="G22" s="52"/>
      <c r="H22" s="52"/>
      <c r="I22" s="52"/>
      <c r="J22" s="52"/>
      <c r="K22" s="14"/>
      <c r="L22" s="14"/>
      <c r="M22" s="14"/>
      <c r="N22" s="19"/>
      <c r="O22" s="14"/>
    </row>
    <row r="23" spans="1:15" x14ac:dyDescent="0.25">
      <c r="A23" s="57"/>
      <c r="B23" s="9">
        <v>50</v>
      </c>
      <c r="C23" s="52"/>
      <c r="D23" s="52"/>
      <c r="E23" s="52"/>
      <c r="F23" s="56"/>
      <c r="G23" s="52"/>
      <c r="H23" s="52"/>
      <c r="I23" s="52"/>
      <c r="J23" s="52"/>
      <c r="K23" s="14"/>
      <c r="L23" s="14"/>
      <c r="M23" s="14"/>
      <c r="N23" s="19"/>
      <c r="O23" s="14"/>
    </row>
    <row r="24" spans="1:15" x14ac:dyDescent="0.25">
      <c r="A24" s="57"/>
      <c r="B24" s="9">
        <v>100</v>
      </c>
      <c r="C24" s="52"/>
      <c r="D24" s="52"/>
      <c r="E24" s="52"/>
      <c r="F24" s="56"/>
      <c r="G24" s="52"/>
      <c r="H24" s="52"/>
      <c r="I24" s="52"/>
      <c r="J24" s="52"/>
      <c r="K24" s="14"/>
      <c r="L24" s="14"/>
      <c r="M24" s="14"/>
      <c r="N24" s="19"/>
      <c r="O24" s="14"/>
    </row>
    <row r="25" spans="1:15" x14ac:dyDescent="0.25">
      <c r="A25" s="52" t="s">
        <v>15</v>
      </c>
      <c r="B25" s="3">
        <v>1</v>
      </c>
      <c r="C25" s="52"/>
      <c r="D25" s="52"/>
      <c r="E25" s="52"/>
      <c r="F25" s="56"/>
      <c r="G25" s="52"/>
      <c r="H25" s="52"/>
      <c r="I25" s="52"/>
      <c r="J25" s="52"/>
      <c r="K25" s="4"/>
      <c r="L25" s="4"/>
      <c r="M25" s="4">
        <v>0.22804703269489901</v>
      </c>
      <c r="N25" s="18">
        <v>1.6157759423183701E-4</v>
      </c>
      <c r="O25" s="4"/>
    </row>
    <row r="26" spans="1:15" x14ac:dyDescent="0.25">
      <c r="A26" s="52"/>
      <c r="B26" s="3">
        <v>3</v>
      </c>
      <c r="C26" s="52"/>
      <c r="D26" s="52"/>
      <c r="E26" s="52"/>
      <c r="F26" s="56"/>
      <c r="G26" s="52"/>
      <c r="H26" s="52"/>
      <c r="I26" s="52"/>
      <c r="J26" s="52"/>
      <c r="K26" s="4"/>
      <c r="L26" s="4"/>
      <c r="M26" s="4">
        <v>0.41259237346931399</v>
      </c>
      <c r="N26" s="18">
        <v>2.92730512989791E-4</v>
      </c>
      <c r="O26" s="4"/>
    </row>
    <row r="27" spans="1:15" x14ac:dyDescent="0.25">
      <c r="A27" s="52"/>
      <c r="B27" s="3">
        <v>5</v>
      </c>
      <c r="C27" s="52"/>
      <c r="D27" s="52"/>
      <c r="E27" s="52"/>
      <c r="F27" s="56"/>
      <c r="G27" s="52"/>
      <c r="H27" s="52"/>
      <c r="I27" s="52"/>
      <c r="J27" s="52"/>
      <c r="K27" s="4"/>
      <c r="L27" s="4"/>
      <c r="M27" s="4"/>
      <c r="N27" s="18"/>
      <c r="O27" s="4"/>
    </row>
    <row r="28" spans="1:15" x14ac:dyDescent="0.25">
      <c r="A28" s="52"/>
      <c r="B28" s="3">
        <v>10</v>
      </c>
      <c r="C28" s="52"/>
      <c r="D28" s="52"/>
      <c r="E28" s="52"/>
      <c r="F28" s="56"/>
      <c r="G28" s="52"/>
      <c r="H28" s="52"/>
      <c r="I28" s="52"/>
      <c r="J28" s="52"/>
      <c r="K28" s="4"/>
      <c r="L28" s="4"/>
      <c r="M28" s="4"/>
      <c r="N28" s="18"/>
      <c r="O28" s="4"/>
    </row>
    <row r="29" spans="1:15" x14ac:dyDescent="0.25">
      <c r="A29" s="52"/>
      <c r="B29" s="3">
        <v>20</v>
      </c>
      <c r="C29" s="52"/>
      <c r="D29" s="52"/>
      <c r="E29" s="52"/>
      <c r="F29" s="56"/>
      <c r="G29" s="52"/>
      <c r="H29" s="52"/>
      <c r="I29" s="52"/>
      <c r="J29" s="52"/>
      <c r="K29" s="4"/>
      <c r="L29" s="4"/>
      <c r="M29" s="4"/>
      <c r="N29" s="18"/>
      <c r="O29" s="4"/>
    </row>
    <row r="30" spans="1:15" x14ac:dyDescent="0.25">
      <c r="A30" s="52"/>
      <c r="B30" s="3">
        <v>50</v>
      </c>
      <c r="C30" s="52"/>
      <c r="D30" s="52"/>
      <c r="E30" s="52"/>
      <c r="F30" s="56"/>
      <c r="G30" s="52"/>
      <c r="H30" s="52"/>
      <c r="I30" s="52"/>
      <c r="J30" s="52"/>
      <c r="K30" s="4"/>
      <c r="L30" s="4"/>
      <c r="M30" s="4"/>
      <c r="N30" s="18"/>
      <c r="O30" s="4"/>
    </row>
    <row r="31" spans="1:15" x14ac:dyDescent="0.25">
      <c r="A31" s="52"/>
      <c r="B31" s="3">
        <v>100</v>
      </c>
      <c r="C31" s="52"/>
      <c r="D31" s="52"/>
      <c r="E31" s="52"/>
      <c r="F31" s="54"/>
      <c r="G31" s="52"/>
      <c r="H31" s="52"/>
      <c r="I31" s="52"/>
      <c r="J31" s="52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R1" s="47" t="s">
        <v>28</v>
      </c>
      <c r="S1" s="47"/>
      <c r="T1" s="47"/>
      <c r="U1" s="47"/>
      <c r="V1" s="47"/>
      <c r="W1" s="47"/>
      <c r="X1" s="47"/>
      <c r="Y1" s="47"/>
      <c r="Z1" s="47"/>
      <c r="AA1" s="47"/>
      <c r="AB1" s="47"/>
      <c r="AI1" s="47" t="s">
        <v>32</v>
      </c>
      <c r="AJ1" s="47"/>
      <c r="AK1" s="47"/>
      <c r="AL1" s="47"/>
      <c r="AM1" s="47"/>
      <c r="AN1" s="47"/>
      <c r="AO1" s="47"/>
      <c r="AP1" s="47"/>
      <c r="AQ1" s="47"/>
      <c r="AR1" s="39"/>
      <c r="AS1" s="39"/>
      <c r="AT1" s="21"/>
      <c r="AY1" s="47" t="s">
        <v>15</v>
      </c>
      <c r="AZ1" s="47"/>
      <c r="BA1" s="47"/>
      <c r="BB1" s="47"/>
      <c r="BC1" s="47"/>
      <c r="BD1" s="47"/>
      <c r="BE1" s="47"/>
      <c r="BF1" s="47"/>
      <c r="BG1" s="47"/>
      <c r="BH1" s="39"/>
      <c r="BI1" s="39"/>
    </row>
    <row r="2" spans="2:6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37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46" t="s">
        <v>37</v>
      </c>
      <c r="AE2" s="46"/>
      <c r="AF2" s="46"/>
      <c r="AG2" s="21"/>
      <c r="AH2" s="21"/>
      <c r="AI2" s="40" t="s">
        <v>19</v>
      </c>
      <c r="AJ2" s="41"/>
      <c r="AK2" s="42"/>
      <c r="AL2" s="40" t="s">
        <v>21</v>
      </c>
      <c r="AM2" s="41"/>
      <c r="AN2" s="42"/>
      <c r="AO2" s="43" t="s">
        <v>22</v>
      </c>
      <c r="AP2" s="44"/>
      <c r="AQ2" s="45"/>
      <c r="AR2" s="46" t="s">
        <v>16</v>
      </c>
      <c r="AS2" s="46"/>
      <c r="AT2" s="46"/>
      <c r="AU2" s="46" t="s">
        <v>37</v>
      </c>
      <c r="AV2" s="46"/>
      <c r="AW2" s="46"/>
      <c r="AY2" s="40" t="s">
        <v>19</v>
      </c>
      <c r="AZ2" s="41"/>
      <c r="BA2" s="42"/>
      <c r="BB2" s="40" t="s">
        <v>21</v>
      </c>
      <c r="BC2" s="41"/>
      <c r="BD2" s="42"/>
      <c r="BE2" s="43" t="s">
        <v>22</v>
      </c>
      <c r="BF2" s="44"/>
      <c r="BG2" s="45"/>
      <c r="BH2" s="46" t="s">
        <v>16</v>
      </c>
      <c r="BI2" s="46"/>
      <c r="BJ2" s="46"/>
      <c r="BK2" s="46" t="s">
        <v>37</v>
      </c>
      <c r="BL2" s="46"/>
      <c r="BM2" s="46"/>
    </row>
    <row r="3" spans="2:6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8" t="s">
        <v>20</v>
      </c>
      <c r="AE3" s="8" t="s">
        <v>9</v>
      </c>
      <c r="AF3" s="25" t="s">
        <v>34</v>
      </c>
      <c r="AG3" s="28"/>
      <c r="AH3" s="28"/>
      <c r="AI3" s="25" t="s">
        <v>20</v>
      </c>
      <c r="AJ3" s="2" t="s">
        <v>9</v>
      </c>
      <c r="AK3" s="25" t="s">
        <v>34</v>
      </c>
      <c r="AL3" s="2" t="s">
        <v>20</v>
      </c>
      <c r="AM3" s="2" t="s">
        <v>9</v>
      </c>
      <c r="AN3" s="25" t="s">
        <v>34</v>
      </c>
      <c r="AO3" s="8" t="s">
        <v>20</v>
      </c>
      <c r="AP3" s="8" t="s">
        <v>9</v>
      </c>
      <c r="AQ3" s="25" t="s">
        <v>34</v>
      </c>
      <c r="AR3" s="8" t="s">
        <v>20</v>
      </c>
      <c r="AS3" s="8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Y3" s="25" t="s">
        <v>20</v>
      </c>
      <c r="AZ3" s="2" t="s">
        <v>9</v>
      </c>
      <c r="BA3" s="25" t="s">
        <v>34</v>
      </c>
      <c r="BB3" s="2" t="s">
        <v>20</v>
      </c>
      <c r="BC3" s="2" t="s">
        <v>9</v>
      </c>
      <c r="BD3" s="25" t="s">
        <v>34</v>
      </c>
      <c r="BE3" s="8" t="s">
        <v>20</v>
      </c>
      <c r="BF3" s="8" t="s">
        <v>9</v>
      </c>
      <c r="BG3" s="25" t="s">
        <v>34</v>
      </c>
      <c r="BH3" s="8" t="s">
        <v>20</v>
      </c>
      <c r="BI3" s="8" t="s">
        <v>9</v>
      </c>
      <c r="BJ3" s="25" t="s">
        <v>34</v>
      </c>
      <c r="BK3" s="8" t="s">
        <v>20</v>
      </c>
      <c r="BL3" s="8" t="s">
        <v>9</v>
      </c>
      <c r="BM3" s="25" t="s">
        <v>34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48" t="s">
        <v>36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1" t="s">
        <v>12</v>
      </c>
      <c r="B4" s="6">
        <v>1</v>
      </c>
      <c r="C4" s="52" t="s">
        <v>5</v>
      </c>
      <c r="D4" s="52">
        <v>66</v>
      </c>
      <c r="E4" s="52">
        <v>66</v>
      </c>
      <c r="F4" s="62"/>
      <c r="G4" s="52">
        <v>1</v>
      </c>
      <c r="H4" s="52">
        <v>1</v>
      </c>
      <c r="I4" s="52">
        <v>66</v>
      </c>
      <c r="J4" s="52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1"/>
      <c r="B5" s="6">
        <v>3</v>
      </c>
      <c r="C5" s="52"/>
      <c r="D5" s="52"/>
      <c r="E5" s="52"/>
      <c r="F5" s="63"/>
      <c r="G5" s="52"/>
      <c r="H5" s="52"/>
      <c r="I5" s="52"/>
      <c r="J5" s="52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1"/>
      <c r="B6" s="6">
        <v>5</v>
      </c>
      <c r="C6" s="52"/>
      <c r="D6" s="52"/>
      <c r="E6" s="52"/>
      <c r="F6" s="63"/>
      <c r="G6" s="52"/>
      <c r="H6" s="52"/>
      <c r="I6" s="52"/>
      <c r="J6" s="52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1"/>
      <c r="B7" s="6">
        <v>10</v>
      </c>
      <c r="C7" s="52"/>
      <c r="D7" s="52"/>
      <c r="E7" s="52"/>
      <c r="F7" s="63"/>
      <c r="G7" s="52"/>
      <c r="H7" s="52"/>
      <c r="I7" s="52"/>
      <c r="J7" s="52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1"/>
      <c r="B8" s="6">
        <v>1000</v>
      </c>
      <c r="C8" s="52"/>
      <c r="D8" s="52"/>
      <c r="E8" s="52"/>
      <c r="F8" s="63"/>
      <c r="G8" s="52"/>
      <c r="H8" s="52"/>
      <c r="I8" s="52"/>
      <c r="J8" s="52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2" t="s">
        <v>13</v>
      </c>
      <c r="B9" s="3">
        <v>1</v>
      </c>
      <c r="C9" s="52"/>
      <c r="D9" s="52"/>
      <c r="E9" s="52"/>
      <c r="F9" s="63"/>
      <c r="G9" s="52"/>
      <c r="H9" s="52"/>
      <c r="I9" s="52"/>
      <c r="J9" s="52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2"/>
      <c r="B10" s="3">
        <v>3</v>
      </c>
      <c r="C10" s="52"/>
      <c r="D10" s="52"/>
      <c r="E10" s="52"/>
      <c r="F10" s="63"/>
      <c r="G10" s="52"/>
      <c r="H10" s="52"/>
      <c r="I10" s="52"/>
      <c r="J10" s="52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2"/>
      <c r="B11" s="3">
        <v>5</v>
      </c>
      <c r="C11" s="52"/>
      <c r="D11" s="52"/>
      <c r="E11" s="52"/>
      <c r="F11" s="63"/>
      <c r="G11" s="52"/>
      <c r="H11" s="52"/>
      <c r="I11" s="52"/>
      <c r="J11" s="52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2"/>
      <c r="B12" s="3">
        <v>10</v>
      </c>
      <c r="C12" s="52"/>
      <c r="D12" s="52"/>
      <c r="E12" s="52"/>
      <c r="F12" s="63"/>
      <c r="G12" s="52"/>
      <c r="H12" s="52"/>
      <c r="I12" s="52"/>
      <c r="J12" s="52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2"/>
      <c r="B13" s="3">
        <v>1000</v>
      </c>
      <c r="C13" s="52"/>
      <c r="D13" s="52"/>
      <c r="E13" s="52"/>
      <c r="F13" s="63"/>
      <c r="G13" s="52"/>
      <c r="H13" s="52"/>
      <c r="I13" s="52"/>
      <c r="J13" s="52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1" t="s">
        <v>14</v>
      </c>
      <c r="B14" s="6">
        <v>1</v>
      </c>
      <c r="C14" s="52"/>
      <c r="D14" s="52"/>
      <c r="E14" s="52"/>
      <c r="F14" s="63"/>
      <c r="G14" s="52"/>
      <c r="H14" s="52"/>
      <c r="I14" s="52"/>
      <c r="J14" s="52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1"/>
      <c r="B15" s="6">
        <v>3</v>
      </c>
      <c r="C15" s="52"/>
      <c r="D15" s="52"/>
      <c r="E15" s="52"/>
      <c r="F15" s="63"/>
      <c r="G15" s="52"/>
      <c r="H15" s="52"/>
      <c r="I15" s="52"/>
      <c r="J15" s="52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1"/>
      <c r="B16" s="6">
        <v>5</v>
      </c>
      <c r="C16" s="52"/>
      <c r="D16" s="52"/>
      <c r="E16" s="52"/>
      <c r="F16" s="63"/>
      <c r="G16" s="52"/>
      <c r="H16" s="52"/>
      <c r="I16" s="52"/>
      <c r="J16" s="52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1"/>
      <c r="B17" s="6">
        <v>10</v>
      </c>
      <c r="C17" s="52"/>
      <c r="D17" s="52"/>
      <c r="E17" s="52"/>
      <c r="F17" s="63"/>
      <c r="G17" s="52"/>
      <c r="H17" s="52"/>
      <c r="I17" s="52"/>
      <c r="J17" s="52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1"/>
      <c r="B18" s="6">
        <v>1000</v>
      </c>
      <c r="C18" s="52"/>
      <c r="D18" s="52"/>
      <c r="E18" s="52"/>
      <c r="F18" s="63"/>
      <c r="G18" s="52"/>
      <c r="H18" s="52"/>
      <c r="I18" s="52"/>
      <c r="J18" s="52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2" t="s">
        <v>15</v>
      </c>
      <c r="B19" s="3">
        <v>1</v>
      </c>
      <c r="C19" s="52"/>
      <c r="D19" s="52"/>
      <c r="E19" s="52"/>
      <c r="F19" s="63"/>
      <c r="G19" s="52"/>
      <c r="H19" s="52"/>
      <c r="I19" s="52"/>
      <c r="J19" s="52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2"/>
      <c r="B20" s="3">
        <v>3</v>
      </c>
      <c r="C20" s="52"/>
      <c r="D20" s="52"/>
      <c r="E20" s="52"/>
      <c r="F20" s="63"/>
      <c r="G20" s="52"/>
      <c r="H20" s="52"/>
      <c r="I20" s="52"/>
      <c r="J20" s="52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2"/>
      <c r="B21" s="3">
        <v>5</v>
      </c>
      <c r="C21" s="52"/>
      <c r="D21" s="52"/>
      <c r="E21" s="52"/>
      <c r="F21" s="63"/>
      <c r="G21" s="52"/>
      <c r="H21" s="52"/>
      <c r="I21" s="52"/>
      <c r="J21" s="52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60"/>
      <c r="B22" s="10">
        <v>10</v>
      </c>
      <c r="C22" s="60"/>
      <c r="D22" s="60"/>
      <c r="E22" s="60"/>
      <c r="F22" s="63"/>
      <c r="G22" s="60"/>
      <c r="H22" s="60"/>
      <c r="I22" s="60"/>
      <c r="J22" s="60"/>
      <c r="K22" s="31">
        <f>AVERAGE(DataExp2!BH4:BH8)</f>
        <v>2.6552692879772497</v>
      </c>
      <c r="L22" s="31">
        <f>AVERAGE(DataExp2!BI4:BI8)</f>
        <v>0.61909807751542356</v>
      </c>
      <c r="M22" s="31">
        <f>AVERAGE(DataExp2!BJ4:BJ8)</f>
        <v>0.1542748928070064</v>
      </c>
    </row>
    <row r="23" spans="1:13" ht="15.75" thickBot="1" x14ac:dyDescent="0.3">
      <c r="A23" s="61"/>
      <c r="B23" s="30">
        <v>1000</v>
      </c>
      <c r="C23" s="61"/>
      <c r="D23" s="61"/>
      <c r="E23" s="61"/>
      <c r="F23" s="64"/>
      <c r="G23" s="61"/>
      <c r="H23" s="61"/>
      <c r="I23" s="61"/>
      <c r="J23" s="61"/>
      <c r="K23" s="29">
        <f>AVERAGE(DataExp2!BK4:BK8)</f>
        <v>2.6966735043782979</v>
      </c>
      <c r="L23" s="29">
        <f>AVERAGE(DataExp2!BL4:BL8)</f>
        <v>0.6191107155759128</v>
      </c>
      <c r="M23" s="29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RowHeight="15" x14ac:dyDescent="0.25"/>
  <cols>
    <col min="6" max="6" width="12.5703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65" t="s">
        <v>12</v>
      </c>
      <c r="B3" s="6">
        <v>1</v>
      </c>
      <c r="C3" s="52" t="s">
        <v>5</v>
      </c>
      <c r="D3" s="52">
        <v>66</v>
      </c>
      <c r="E3" s="52">
        <v>66</v>
      </c>
      <c r="F3" s="46"/>
      <c r="G3" s="52">
        <v>1</v>
      </c>
      <c r="H3" s="52">
        <v>1</v>
      </c>
      <c r="I3" s="52">
        <v>66</v>
      </c>
      <c r="J3" s="52">
        <v>66</v>
      </c>
      <c r="K3" s="9">
        <v>24.272210690591301</v>
      </c>
      <c r="L3" s="14">
        <v>3.3054398403598002</v>
      </c>
    </row>
    <row r="4" spans="1:12" x14ac:dyDescent="0.25">
      <c r="A4" s="66"/>
      <c r="B4" s="6">
        <v>3</v>
      </c>
      <c r="C4" s="52"/>
      <c r="D4" s="52"/>
      <c r="E4" s="52"/>
      <c r="F4" s="46"/>
      <c r="G4" s="52"/>
      <c r="H4" s="52"/>
      <c r="I4" s="52"/>
      <c r="J4" s="52"/>
      <c r="K4" s="14">
        <v>10.596633070539401</v>
      </c>
      <c r="L4" s="14">
        <v>1.5955635877966901</v>
      </c>
    </row>
    <row r="5" spans="1:12" x14ac:dyDescent="0.25">
      <c r="A5" s="66"/>
      <c r="B5" s="6">
        <v>5</v>
      </c>
      <c r="C5" s="52"/>
      <c r="D5" s="52"/>
      <c r="E5" s="52"/>
      <c r="F5" s="46"/>
      <c r="G5" s="52"/>
      <c r="H5" s="52"/>
      <c r="I5" s="52"/>
      <c r="J5" s="52"/>
      <c r="K5" s="14">
        <v>4.5624707313509596</v>
      </c>
      <c r="L5" s="14">
        <v>0.80189414157007399</v>
      </c>
    </row>
    <row r="6" spans="1:12" x14ac:dyDescent="0.25">
      <c r="A6" s="66"/>
      <c r="B6" s="6">
        <v>10</v>
      </c>
      <c r="C6" s="52"/>
      <c r="D6" s="52"/>
      <c r="E6" s="52"/>
      <c r="F6" s="46"/>
      <c r="G6" s="52"/>
      <c r="H6" s="52"/>
      <c r="I6" s="52"/>
      <c r="J6" s="52"/>
      <c r="K6" s="14">
        <v>0.610171518579538</v>
      </c>
      <c r="L6" s="14">
        <v>0.18817509888984599</v>
      </c>
    </row>
    <row r="7" spans="1:12" x14ac:dyDescent="0.25">
      <c r="A7" s="50"/>
      <c r="B7" s="6">
        <v>100</v>
      </c>
      <c r="C7" s="52"/>
      <c r="D7" s="52"/>
      <c r="E7" s="52"/>
      <c r="F7" s="46"/>
      <c r="G7" s="52"/>
      <c r="H7" s="52"/>
      <c r="I7" s="52"/>
      <c r="J7" s="52"/>
      <c r="K7" s="9">
        <v>0.56361848551125004</v>
      </c>
      <c r="L7" s="9">
        <v>0.197282474192192</v>
      </c>
    </row>
    <row r="8" spans="1:12" x14ac:dyDescent="0.25">
      <c r="A8" s="60" t="s">
        <v>13</v>
      </c>
      <c r="B8" s="3">
        <v>1</v>
      </c>
      <c r="C8" s="52"/>
      <c r="D8" s="52"/>
      <c r="E8" s="52"/>
      <c r="F8" s="46"/>
      <c r="G8" s="52"/>
      <c r="H8" s="52"/>
      <c r="I8" s="52"/>
      <c r="J8" s="52"/>
      <c r="K8" s="4">
        <v>51.3708858392826</v>
      </c>
      <c r="L8" s="4">
        <v>6.6885950561924696</v>
      </c>
    </row>
    <row r="9" spans="1:12" x14ac:dyDescent="0.25">
      <c r="A9" s="56"/>
      <c r="B9" s="3">
        <v>3</v>
      </c>
      <c r="C9" s="52"/>
      <c r="D9" s="52"/>
      <c r="E9" s="52"/>
      <c r="F9" s="46"/>
      <c r="G9" s="52"/>
      <c r="H9" s="52"/>
      <c r="I9" s="52"/>
      <c r="J9" s="52"/>
      <c r="K9" s="4">
        <v>2.1067016984413098</v>
      </c>
      <c r="L9" s="4">
        <v>0.40789971668138397</v>
      </c>
    </row>
    <row r="10" spans="1:12" x14ac:dyDescent="0.25">
      <c r="A10" s="56"/>
      <c r="B10" s="3">
        <v>5</v>
      </c>
      <c r="C10" s="52"/>
      <c r="D10" s="52"/>
      <c r="E10" s="52"/>
      <c r="F10" s="46"/>
      <c r="G10" s="52"/>
      <c r="H10" s="52"/>
      <c r="I10" s="52"/>
      <c r="J10" s="52"/>
      <c r="K10" s="4">
        <v>2.8064566058312099</v>
      </c>
      <c r="L10" s="4">
        <v>0.67455402488281302</v>
      </c>
    </row>
    <row r="11" spans="1:12" x14ac:dyDescent="0.25">
      <c r="A11" s="56"/>
      <c r="B11" s="3">
        <v>10</v>
      </c>
      <c r="C11" s="52"/>
      <c r="D11" s="52"/>
      <c r="E11" s="52"/>
      <c r="F11" s="46"/>
      <c r="G11" s="52"/>
      <c r="H11" s="52"/>
      <c r="I11" s="52"/>
      <c r="J11" s="52"/>
      <c r="K11" s="4">
        <v>1.8870454425238199</v>
      </c>
      <c r="L11" s="4">
        <v>0.37616173059733798</v>
      </c>
    </row>
    <row r="12" spans="1:12" x14ac:dyDescent="0.25">
      <c r="A12" s="54"/>
      <c r="B12" s="3">
        <v>100</v>
      </c>
      <c r="C12" s="52"/>
      <c r="D12" s="52"/>
      <c r="E12" s="52"/>
      <c r="F12" s="46"/>
      <c r="G12" s="52"/>
      <c r="H12" s="52"/>
      <c r="I12" s="52"/>
      <c r="J12" s="52"/>
      <c r="K12" s="4">
        <v>1.6795645399372201</v>
      </c>
      <c r="L12" s="4">
        <v>0.41984578161339797</v>
      </c>
    </row>
    <row r="13" spans="1:12" x14ac:dyDescent="0.25">
      <c r="A13" s="65" t="s">
        <v>14</v>
      </c>
      <c r="B13" s="6">
        <v>1</v>
      </c>
      <c r="C13" s="52"/>
      <c r="D13" s="52"/>
      <c r="E13" s="52"/>
      <c r="F13" s="46"/>
      <c r="G13" s="52"/>
      <c r="H13" s="52"/>
      <c r="I13" s="52"/>
      <c r="J13" s="52"/>
      <c r="K13" s="14">
        <v>1.97796965575553</v>
      </c>
      <c r="L13" s="14">
        <v>0.37754673426285001</v>
      </c>
    </row>
    <row r="14" spans="1:12" x14ac:dyDescent="0.25">
      <c r="A14" s="66"/>
      <c r="B14" s="6">
        <v>3</v>
      </c>
      <c r="C14" s="52"/>
      <c r="D14" s="52"/>
      <c r="E14" s="52"/>
      <c r="F14" s="46"/>
      <c r="G14" s="52"/>
      <c r="H14" s="52"/>
      <c r="I14" s="52"/>
      <c r="J14" s="52"/>
      <c r="K14" s="14">
        <v>3.1862607049915099</v>
      </c>
      <c r="L14" s="14">
        <v>0.65565129784223597</v>
      </c>
    </row>
    <row r="15" spans="1:12" x14ac:dyDescent="0.25">
      <c r="A15" s="66"/>
      <c r="B15" s="6">
        <v>5</v>
      </c>
      <c r="C15" s="52"/>
      <c r="D15" s="52"/>
      <c r="E15" s="52"/>
      <c r="F15" s="46"/>
      <c r="G15" s="52"/>
      <c r="H15" s="52"/>
      <c r="I15" s="52"/>
      <c r="J15" s="52"/>
      <c r="K15" s="14">
        <v>3.1662124268938201</v>
      </c>
      <c r="L15" s="14">
        <v>0.65226013362701096</v>
      </c>
    </row>
    <row r="16" spans="1:12" x14ac:dyDescent="0.25">
      <c r="A16" s="66"/>
      <c r="B16" s="6">
        <v>10</v>
      </c>
      <c r="C16" s="52"/>
      <c r="D16" s="52"/>
      <c r="E16" s="52"/>
      <c r="F16" s="46"/>
      <c r="G16" s="52"/>
      <c r="H16" s="52"/>
      <c r="I16" s="52"/>
      <c r="J16" s="52"/>
      <c r="K16" s="14">
        <v>3.0769912027266599</v>
      </c>
      <c r="L16" s="14">
        <v>0.65226013362701096</v>
      </c>
    </row>
    <row r="17" spans="1:12" x14ac:dyDescent="0.25">
      <c r="A17" s="50"/>
      <c r="B17" s="6">
        <v>100</v>
      </c>
      <c r="C17" s="52"/>
      <c r="D17" s="52"/>
      <c r="E17" s="52"/>
      <c r="F17" s="46"/>
      <c r="G17" s="52"/>
      <c r="H17" s="52"/>
      <c r="I17" s="52"/>
      <c r="J17" s="52"/>
      <c r="K17" s="14">
        <v>3.1294599319079799</v>
      </c>
      <c r="L17" s="14">
        <v>0.65226013362701096</v>
      </c>
    </row>
    <row r="18" spans="1:12" x14ac:dyDescent="0.25">
      <c r="A18" s="52" t="s">
        <v>15</v>
      </c>
      <c r="B18" s="3">
        <v>1</v>
      </c>
      <c r="C18" s="52"/>
      <c r="D18" s="52"/>
      <c r="E18" s="52"/>
      <c r="F18" s="46"/>
      <c r="G18" s="52"/>
      <c r="H18" s="52"/>
      <c r="I18" s="52"/>
      <c r="J18" s="52"/>
      <c r="K18">
        <v>34.454845100484</v>
      </c>
      <c r="L18">
        <v>4.5813181927955497</v>
      </c>
    </row>
    <row r="19" spans="1:12" x14ac:dyDescent="0.25">
      <c r="A19" s="52"/>
      <c r="B19" s="3">
        <v>3</v>
      </c>
      <c r="C19" s="52"/>
      <c r="D19" s="52"/>
      <c r="E19" s="52"/>
      <c r="F19" s="46"/>
      <c r="G19" s="52"/>
      <c r="H19" s="52"/>
      <c r="I19" s="52"/>
      <c r="J19" s="52"/>
      <c r="K19" s="4">
        <v>1.9521931441214699</v>
      </c>
      <c r="L19" s="4">
        <v>0.33857361093395399</v>
      </c>
    </row>
    <row r="20" spans="1:12" x14ac:dyDescent="0.25">
      <c r="A20" s="52"/>
      <c r="B20" s="3">
        <v>5</v>
      </c>
      <c r="C20" s="52"/>
      <c r="D20" s="52"/>
      <c r="E20" s="52"/>
      <c r="F20" s="46"/>
      <c r="G20" s="52"/>
      <c r="H20" s="52"/>
      <c r="I20" s="52"/>
      <c r="J20" s="52"/>
      <c r="K20" s="3">
        <v>2.0043440401661101</v>
      </c>
      <c r="L20" s="3">
        <v>0.34338396096988</v>
      </c>
    </row>
    <row r="21" spans="1:12" x14ac:dyDescent="0.25">
      <c r="A21" s="60"/>
      <c r="B21" s="10">
        <v>10</v>
      </c>
      <c r="C21" s="52"/>
      <c r="D21" s="52"/>
      <c r="E21" s="52"/>
      <c r="F21" s="46"/>
      <c r="G21" s="52"/>
      <c r="H21" s="52"/>
      <c r="I21" s="52"/>
      <c r="J21" s="52"/>
      <c r="K21" s="3">
        <v>2.0041611367035599</v>
      </c>
      <c r="L21" s="3">
        <v>2.0041611367035599</v>
      </c>
    </row>
    <row r="22" spans="1:12" ht="15.75" thickBot="1" x14ac:dyDescent="0.3">
      <c r="A22" s="61"/>
      <c r="B22" s="30">
        <v>100</v>
      </c>
      <c r="C22" s="52"/>
      <c r="D22" s="52"/>
      <c r="E22" s="52"/>
      <c r="F22" s="46"/>
      <c r="G22" s="52"/>
      <c r="H22" s="52"/>
      <c r="I22" s="52"/>
      <c r="J22" s="52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39" t="s">
        <v>25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21"/>
      <c r="R1" s="47" t="s">
        <v>28</v>
      </c>
      <c r="S1" s="47"/>
      <c r="T1" s="47"/>
      <c r="U1" s="47"/>
      <c r="V1" s="47"/>
      <c r="W1" s="47"/>
      <c r="X1" s="47"/>
      <c r="Y1" s="47"/>
      <c r="Z1" s="47"/>
      <c r="AA1" s="47"/>
      <c r="AB1" s="47"/>
      <c r="AE1" s="47" t="s">
        <v>32</v>
      </c>
      <c r="AF1" s="47"/>
      <c r="AG1" s="47"/>
      <c r="AH1" s="47"/>
      <c r="AI1" s="47"/>
      <c r="AJ1" s="47"/>
      <c r="AK1" s="47"/>
      <c r="AL1" s="47"/>
      <c r="AM1" s="47"/>
      <c r="AN1" s="39"/>
      <c r="AO1" s="39"/>
      <c r="AP1" s="21"/>
      <c r="AR1" s="47" t="s">
        <v>15</v>
      </c>
      <c r="AS1" s="47"/>
      <c r="AT1" s="47"/>
      <c r="AU1" s="47"/>
      <c r="AV1" s="47"/>
      <c r="AW1" s="47"/>
      <c r="AX1" s="47"/>
      <c r="AY1" s="47"/>
      <c r="AZ1" s="47"/>
      <c r="BA1" s="39"/>
      <c r="BB1" s="39"/>
    </row>
    <row r="2" spans="2:5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35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21"/>
      <c r="AE2" s="40" t="s">
        <v>19</v>
      </c>
      <c r="AF2" s="41"/>
      <c r="AG2" s="42"/>
      <c r="AH2" s="40" t="s">
        <v>21</v>
      </c>
      <c r="AI2" s="41"/>
      <c r="AJ2" s="42"/>
      <c r="AK2" s="43" t="s">
        <v>22</v>
      </c>
      <c r="AL2" s="44"/>
      <c r="AM2" s="45"/>
      <c r="AN2" s="46" t="s">
        <v>16</v>
      </c>
      <c r="AO2" s="46"/>
      <c r="AP2" s="46"/>
      <c r="AR2" s="40" t="s">
        <v>19</v>
      </c>
      <c r="AS2" s="41"/>
      <c r="AT2" s="42"/>
      <c r="AU2" s="40" t="s">
        <v>21</v>
      </c>
      <c r="AV2" s="41"/>
      <c r="AW2" s="42"/>
      <c r="AX2" s="43" t="s">
        <v>22</v>
      </c>
      <c r="AY2" s="44"/>
      <c r="AZ2" s="45"/>
      <c r="BA2" s="46" t="s">
        <v>16</v>
      </c>
      <c r="BB2" s="46"/>
      <c r="BC2" s="46"/>
    </row>
    <row r="3" spans="2:5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28"/>
      <c r="AE3" s="25" t="s">
        <v>20</v>
      </c>
      <c r="AF3" s="2" t="s">
        <v>9</v>
      </c>
      <c r="AG3" s="25" t="s">
        <v>34</v>
      </c>
      <c r="AH3" s="2" t="s">
        <v>20</v>
      </c>
      <c r="AI3" s="2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N3" s="8" t="s">
        <v>20</v>
      </c>
      <c r="AO3" s="8" t="s">
        <v>9</v>
      </c>
      <c r="AP3" s="25" t="s">
        <v>34</v>
      </c>
      <c r="AR3" s="25" t="s">
        <v>20</v>
      </c>
      <c r="AS3" s="2" t="s">
        <v>9</v>
      </c>
      <c r="AT3" s="25" t="s">
        <v>34</v>
      </c>
      <c r="AU3" s="2" t="s">
        <v>20</v>
      </c>
      <c r="AV3" s="2" t="s">
        <v>9</v>
      </c>
      <c r="AW3" s="25" t="s">
        <v>34</v>
      </c>
      <c r="AX3" s="8" t="s">
        <v>20</v>
      </c>
      <c r="AY3" s="8" t="s">
        <v>9</v>
      </c>
      <c r="AZ3" s="25" t="s">
        <v>34</v>
      </c>
      <c r="BA3" s="8" t="s">
        <v>20</v>
      </c>
      <c r="BB3" s="8" t="s">
        <v>9</v>
      </c>
      <c r="BC3" s="25" t="s">
        <v>34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2024-09-24T19:06:35Z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