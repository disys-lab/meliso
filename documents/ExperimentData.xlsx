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783" documentId="13_ncr:1_{4B21F078-1D86-7D42-975E-771B6217AA2A}" xr6:coauthVersionLast="47" xr6:coauthVersionMax="47" xr10:uidLastSave="{D07D5FA6-4BCD-4496-828A-B5364B503ACF}"/>
  <bookViews>
    <workbookView xWindow="-25710" yWindow="-110" windowWidth="25820" windowHeight="15500" activeTab="2" xr2:uid="{3D929851-844D-4663-98AC-E560A272E6E8}"/>
  </bookViews>
  <sheets>
    <sheet name="DataExp1" sheetId="2" r:id="rId1"/>
    <sheet name="Experiment 1" sheetId="1" r:id="rId2"/>
    <sheet name="DataExp2" sheetId="4" r:id="rId3"/>
    <sheet name="Experiment 2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O12" i="1"/>
  <c r="O17" i="1"/>
  <c r="O13" i="1"/>
  <c r="O14" i="1"/>
  <c r="O18" i="1"/>
  <c r="O19" i="1"/>
  <c r="O15" i="1"/>
  <c r="O10" i="1"/>
  <c r="O11" i="1"/>
  <c r="O9" i="1"/>
  <c r="O8" i="1"/>
  <c r="O7" i="1"/>
  <c r="O6" i="1"/>
  <c r="O5" i="1"/>
  <c r="O4" i="1"/>
  <c r="K5" i="1"/>
  <c r="K7" i="1"/>
  <c r="L31" i="1"/>
  <c r="K31" i="1"/>
  <c r="L27" i="1"/>
  <c r="K27" i="1"/>
  <c r="K23" i="1"/>
  <c r="L23" i="1"/>
  <c r="L35" i="1"/>
  <c r="K35" i="1"/>
  <c r="L34" i="1"/>
  <c r="K34" i="1"/>
  <c r="L26" i="1"/>
  <c r="K26" i="1"/>
  <c r="K30" i="1"/>
  <c r="L22" i="1"/>
  <c r="K22" i="1"/>
  <c r="L30" i="1"/>
  <c r="L29" i="1"/>
  <c r="K29" i="1"/>
  <c r="L33" i="1"/>
  <c r="K33" i="1"/>
  <c r="L25" i="1"/>
  <c r="K25" i="1"/>
  <c r="L21" i="1"/>
  <c r="K21" i="1"/>
  <c r="L28" i="1"/>
  <c r="K28" i="1"/>
  <c r="L32" i="1"/>
  <c r="K32" i="1"/>
  <c r="L24" i="1"/>
  <c r="K24" i="1"/>
  <c r="K20" i="1"/>
  <c r="L20" i="1"/>
  <c r="L15" i="1"/>
  <c r="K15" i="1"/>
  <c r="L14" i="1"/>
  <c r="K14" i="1"/>
  <c r="L13" i="1"/>
  <c r="K13" i="1"/>
  <c r="L12" i="1"/>
  <c r="K12" i="1"/>
  <c r="K18" i="1"/>
  <c r="K17" i="1"/>
  <c r="L18" i="1"/>
  <c r="L17" i="1"/>
  <c r="L16" i="1"/>
  <c r="K16" i="1"/>
  <c r="L19" i="1"/>
  <c r="K19" i="1"/>
  <c r="L11" i="1"/>
  <c r="K11" i="1"/>
  <c r="L10" i="1"/>
  <c r="K10" i="1"/>
  <c r="L9" i="1"/>
  <c r="K9" i="1"/>
  <c r="L8" i="1"/>
  <c r="K8" i="1"/>
  <c r="L7" i="1"/>
  <c r="L6" i="1"/>
  <c r="K6" i="1"/>
  <c r="L5" i="1"/>
  <c r="L4" i="1"/>
  <c r="K4" i="1"/>
</calcChain>
</file>

<file path=xl/sharedStrings.xml><?xml version="1.0" encoding="utf-8"?>
<sst xmlns="http://schemas.openxmlformats.org/spreadsheetml/2006/main" count="324" uniqueCount="37">
  <si>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</si>
  <si>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</si>
  <si>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</si>
  <si>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</si>
  <si>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</si>
  <si>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</si>
  <si>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</si>
  <si>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</si>
  <si>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</si>
  <si>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</si>
  <si>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</si>
  <si>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</si>
  <si>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</si>
  <si>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</si>
  <si>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</si>
  <si>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</si>
  <si>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</si>
  <si>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</si>
  <si>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</si>
  <si>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</si>
  <si>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</si>
  <si>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</si>
  <si>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</si>
  <si>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</si>
  <si>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</si>
  <si>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</si>
  <si>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Ag-aSi (Ipertubed)</t>
  </si>
  <si>
    <t>Elapsed Time for VMM</t>
  </si>
  <si>
    <t>AlOx-HfO2 (bcsstk02)</t>
  </si>
  <si>
    <t>AlOx-HfO2 (Ipertubed)</t>
  </si>
  <si>
    <t>TaOx-HfOx (Ipertub)</t>
  </si>
  <si>
    <t>EpiRAM (Ipertub)</t>
  </si>
  <si>
    <t>EpiRAM (bcsstk02)</t>
  </si>
  <si>
    <t>Conditioning Number</t>
  </si>
  <si>
    <t>Centralized Computation; 
Fixed Number of Iterations for Error Correction; 
Only applied Error Correction on Worst Device (a.k.a. excluding EpiRAM):
Run 10 replications for each number of iterations</t>
  </si>
  <si>
    <t>Elapsed Time</t>
  </si>
  <si>
    <t>Centralized Computation; 
Fixed Number of Iterations for Error Correction; 
No Error Correction
Run 10 replications for each number of iterations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</si>
</sst>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0" fillId="0" borderId="0" xfId="0" applyNumberFormat="1" applyAlignment="1">
      <alignment wrapText="1"/>
    </xf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11" fontId="0" fillId="0" borderId="0" xfId="0" applyNumberFormat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11" fontId="0" fillId="4" borderId="1" xfId="0" applyNumberFormat="1" applyFill="1" applyBorder="1"/>
    <xf numFmtId="164" fontId="0" fillId="5" borderId="1" xfId="0" applyNumberFormat="1" applyFill="1" applyBorder="1"/>
    <xf numFmtId="11" fontId="0" fillId="5" borderId="1" xfId="0" applyNumberFormat="1" applyFill="1" applyBorder="1"/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164" fontId="0" fillId="2" borderId="0" xfId="0" applyNumberFormat="1" applyFill="1"/>
    <xf numFmtId="164" fontId="0" fillId="0" borderId="8" xfId="0" applyNumberFormat="1" applyBorder="1"/>
    <xf numFmtId="0" fontId="2" fillId="0" borderId="0" xfId="0" applyFont="1" applyAlignment="1">
      <alignment horizontal="center" vertical="center" wrapText="1"/>
    </xf>
    <xf numFmtId="164" fontId="0" fillId="0" borderId="9" xfId="0" applyNumberFormat="1" applyBorder="1"/>
    <xf numFmtId="11" fontId="0" fillId="0" borderId="9" xfId="0" applyNumberFormat="1" applyBorder="1"/>
    <xf numFmtId="0" fontId="0" fillId="0" borderId="11" xfId="0" applyBorder="1"/>
    <xf numFmtId="164" fontId="0" fillId="0" borderId="11" xfId="0" applyNumberFormat="1" applyBorder="1"/>
    <xf numFmtId="11" fontId="0" fillId="0" borderId="11" xfId="0" applyNumberFormat="1" applyBorder="1"/>
    <xf numFmtId="164" fontId="0" fillId="3" borderId="9" xfId="0" applyNumberFormat="1" applyFill="1" applyBorder="1"/>
    <xf numFmtId="11" fontId="0" fillId="3" borderId="9" xfId="0" applyNumberFormat="1" applyFill="1" applyBorder="1"/>
    <xf numFmtId="0" fontId="0" fillId="0" borderId="9" xfId="0" applyBorder="1"/>
    <xf numFmtId="0" fontId="0" fillId="3" borderId="9" xfId="0" applyFill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Z34"/>
  <sheetViews>
    <sheetView topLeftCell="AA1" zoomScaleNormal="100" workbookViewId="0">
      <selection activeCell="AA1" sqref="A1:XFD1048576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5" max="15" width="9.42578125" bestFit="1" customWidth="1"/>
    <col min="17" max="17" width="8.140625" bestFit="1" customWidth="1"/>
  </cols>
  <sheetData>
    <row r="1" spans="2:52" x14ac:dyDescent="0.25">
      <c r="B1" s="41" t="s">
        <v>25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22"/>
      <c r="O1" s="49" t="s">
        <v>28</v>
      </c>
      <c r="P1" s="49"/>
      <c r="Q1" s="49"/>
      <c r="R1" s="49"/>
      <c r="S1" s="49"/>
      <c r="T1" s="49"/>
      <c r="U1" s="49"/>
      <c r="V1" s="49"/>
      <c r="W1" s="49"/>
      <c r="X1" s="49"/>
      <c r="Y1" s="49"/>
      <c r="AB1" s="49" t="s">
        <v>32</v>
      </c>
      <c r="AC1" s="49"/>
      <c r="AD1" s="49"/>
      <c r="AE1" s="49"/>
      <c r="AF1" s="49"/>
      <c r="AG1" s="49"/>
      <c r="AH1" s="49"/>
      <c r="AI1" s="49"/>
      <c r="AJ1" s="49"/>
      <c r="AK1" s="41"/>
      <c r="AL1" s="41"/>
      <c r="AM1" s="22"/>
      <c r="AO1" s="49" t="s">
        <v>15</v>
      </c>
      <c r="AP1" s="49"/>
      <c r="AQ1" s="49"/>
      <c r="AR1" s="49"/>
      <c r="AS1" s="49"/>
      <c r="AT1" s="49"/>
      <c r="AU1" s="49"/>
      <c r="AV1" s="49"/>
      <c r="AW1" s="49"/>
      <c r="AX1" s="41"/>
      <c r="AY1" s="41"/>
    </row>
    <row r="2" spans="2:52" x14ac:dyDescent="0.25">
      <c r="B2" s="42" t="s">
        <v>19</v>
      </c>
      <c r="C2" s="43"/>
      <c r="D2" s="44"/>
      <c r="E2" s="42" t="s">
        <v>21</v>
      </c>
      <c r="F2" s="43"/>
      <c r="G2" s="44"/>
      <c r="H2" s="45" t="s">
        <v>22</v>
      </c>
      <c r="I2" s="46"/>
      <c r="J2" s="47"/>
      <c r="K2" s="48" t="s">
        <v>16</v>
      </c>
      <c r="L2" s="48"/>
      <c r="M2" s="48"/>
      <c r="O2" s="42" t="s">
        <v>19</v>
      </c>
      <c r="P2" s="43"/>
      <c r="Q2" s="44"/>
      <c r="R2" s="42" t="s">
        <v>21</v>
      </c>
      <c r="S2" s="43"/>
      <c r="T2" s="44"/>
      <c r="U2" s="45" t="s">
        <v>22</v>
      </c>
      <c r="V2" s="46"/>
      <c r="W2" s="47"/>
      <c r="X2" s="48" t="s">
        <v>16</v>
      </c>
      <c r="Y2" s="48"/>
      <c r="Z2" s="48"/>
      <c r="AA2" s="22"/>
      <c r="AB2" s="42" t="s">
        <v>19</v>
      </c>
      <c r="AC2" s="43"/>
      <c r="AD2" s="44"/>
      <c r="AE2" s="42" t="s">
        <v>21</v>
      </c>
      <c r="AF2" s="43"/>
      <c r="AG2" s="44"/>
      <c r="AH2" s="45" t="s">
        <v>22</v>
      </c>
      <c r="AI2" s="46"/>
      <c r="AJ2" s="47"/>
      <c r="AK2" s="48" t="s">
        <v>16</v>
      </c>
      <c r="AL2" s="48"/>
      <c r="AM2" s="48"/>
      <c r="AO2" s="42" t="s">
        <v>19</v>
      </c>
      <c r="AP2" s="43"/>
      <c r="AQ2" s="44"/>
      <c r="AR2" s="42" t="s">
        <v>21</v>
      </c>
      <c r="AS2" s="43"/>
      <c r="AT2" s="44"/>
      <c r="AU2" s="45" t="s">
        <v>22</v>
      </c>
      <c r="AV2" s="46"/>
      <c r="AW2" s="47"/>
      <c r="AX2" s="48" t="s">
        <v>16</v>
      </c>
      <c r="AY2" s="48"/>
      <c r="AZ2" s="48"/>
    </row>
    <row r="3" spans="2:52" ht="45" x14ac:dyDescent="0.25">
      <c r="B3" s="3" t="s">
        <v>20</v>
      </c>
      <c r="C3" s="3" t="s">
        <v>9</v>
      </c>
      <c r="D3" s="28" t="s">
        <v>35</v>
      </c>
      <c r="E3" s="3" t="s">
        <v>20</v>
      </c>
      <c r="F3" s="3" t="s">
        <v>9</v>
      </c>
      <c r="G3" s="28" t="s">
        <v>35</v>
      </c>
      <c r="H3" s="9" t="s">
        <v>20</v>
      </c>
      <c r="I3" s="9" t="s">
        <v>9</v>
      </c>
      <c r="J3" s="28" t="s">
        <v>35</v>
      </c>
      <c r="K3" s="9" t="s">
        <v>20</v>
      </c>
      <c r="L3" s="9" t="s">
        <v>9</v>
      </c>
      <c r="M3" s="28" t="s">
        <v>35</v>
      </c>
      <c r="O3" s="3" t="s">
        <v>20</v>
      </c>
      <c r="P3" s="3" t="s">
        <v>9</v>
      </c>
      <c r="Q3" s="28" t="s">
        <v>35</v>
      </c>
      <c r="R3" s="3" t="s">
        <v>20</v>
      </c>
      <c r="S3" s="3" t="s">
        <v>9</v>
      </c>
      <c r="T3" s="28" t="s">
        <v>35</v>
      </c>
      <c r="U3" s="9" t="s">
        <v>20</v>
      </c>
      <c r="V3" s="9" t="s">
        <v>9</v>
      </c>
      <c r="W3" s="28" t="s">
        <v>35</v>
      </c>
      <c r="X3" s="9" t="s">
        <v>20</v>
      </c>
      <c r="Y3" s="9" t="s">
        <v>9</v>
      </c>
      <c r="Z3" s="28" t="s">
        <v>35</v>
      </c>
      <c r="AA3" s="31"/>
      <c r="AB3" s="28" t="s">
        <v>20</v>
      </c>
      <c r="AC3" s="3" t="s">
        <v>9</v>
      </c>
      <c r="AD3" s="28" t="s">
        <v>35</v>
      </c>
      <c r="AE3" s="3" t="s">
        <v>20</v>
      </c>
      <c r="AF3" s="3" t="s">
        <v>9</v>
      </c>
      <c r="AG3" s="28" t="s">
        <v>35</v>
      </c>
      <c r="AH3" s="9" t="s">
        <v>20</v>
      </c>
      <c r="AI3" s="9" t="s">
        <v>9</v>
      </c>
      <c r="AJ3" s="28" t="s">
        <v>35</v>
      </c>
      <c r="AK3" s="9" t="s">
        <v>20</v>
      </c>
      <c r="AL3" s="9" t="s">
        <v>9</v>
      </c>
      <c r="AM3" s="28" t="s">
        <v>35</v>
      </c>
      <c r="AO3" s="28" t="s">
        <v>20</v>
      </c>
      <c r="AP3" s="3" t="s">
        <v>9</v>
      </c>
      <c r="AQ3" s="28" t="s">
        <v>35</v>
      </c>
      <c r="AR3" s="3" t="s">
        <v>20</v>
      </c>
      <c r="AS3" s="3" t="s">
        <v>9</v>
      </c>
      <c r="AT3" s="28" t="s">
        <v>35</v>
      </c>
      <c r="AU3" s="9" t="s">
        <v>20</v>
      </c>
      <c r="AV3" s="9" t="s">
        <v>9</v>
      </c>
      <c r="AW3" s="28" t="s">
        <v>35</v>
      </c>
      <c r="AX3" s="9" t="s">
        <v>20</v>
      </c>
      <c r="AY3" s="9" t="s">
        <v>9</v>
      </c>
      <c r="AZ3" s="28" t="s">
        <v>35</v>
      </c>
    </row>
    <row r="4" spans="2:52" x14ac:dyDescent="0.25">
      <c r="B4" s="5">
        <v>24.443761142859401</v>
      </c>
      <c r="C4" s="5">
        <v>3.3744526857264301</v>
      </c>
      <c r="D4" s="5">
        <v>1.6338355541229199</v>
      </c>
      <c r="E4" s="6">
        <v>11.146140000613499</v>
      </c>
      <c r="F4" s="6">
        <v>1.68778800506088</v>
      </c>
      <c r="G4" s="6">
        <v>1.80494332313537</v>
      </c>
      <c r="H4" s="5">
        <v>5.0263956831744903</v>
      </c>
      <c r="I4" s="5">
        <v>0.90170831675261998</v>
      </c>
      <c r="J4" s="5">
        <v>1.7238585948944001</v>
      </c>
      <c r="K4" s="6">
        <v>1.0386527872326301</v>
      </c>
      <c r="L4" s="6">
        <v>0.281035172507479</v>
      </c>
      <c r="M4" s="6">
        <v>1.76650047302246</v>
      </c>
      <c r="O4" s="5">
        <v>50.189180557709498</v>
      </c>
      <c r="P4" s="5">
        <v>6.8272041826728298</v>
      </c>
      <c r="Q4" s="5">
        <v>1.66333055496215</v>
      </c>
      <c r="R4" s="6">
        <v>2.40398255283031</v>
      </c>
      <c r="S4" s="6">
        <v>0.494699860082361</v>
      </c>
      <c r="T4" s="6">
        <v>1.6662456989288299</v>
      </c>
      <c r="U4" s="5">
        <v>2.5208897211674199</v>
      </c>
      <c r="V4" s="5">
        <v>0.47344483768397699</v>
      </c>
      <c r="W4" s="5">
        <v>1.8126475811004601</v>
      </c>
      <c r="X4" s="6">
        <v>1.34621453385329</v>
      </c>
      <c r="Y4" s="6">
        <v>0.35832775281353502</v>
      </c>
      <c r="Z4" s="4">
        <v>1.7666320800781199</v>
      </c>
      <c r="AB4" s="5">
        <v>2.0282019718480502</v>
      </c>
      <c r="AC4" s="5">
        <v>0.37754673426285001</v>
      </c>
      <c r="AD4" s="5">
        <v>0.15384221076965299</v>
      </c>
      <c r="AE4" s="6">
        <v>2.93314349751103</v>
      </c>
      <c r="AF4" s="6">
        <v>0.65213375302212495</v>
      </c>
      <c r="AG4" s="6">
        <v>0.164636850357055</v>
      </c>
      <c r="AH4" s="5">
        <v>3.1835707328913601</v>
      </c>
      <c r="AI4" s="5">
        <v>0.65565129784223597</v>
      </c>
      <c r="AJ4" s="5">
        <v>0.17476344108581501</v>
      </c>
      <c r="AK4" s="6">
        <v>3.0446059739842699</v>
      </c>
      <c r="AL4" s="6">
        <v>0.65226013362701096</v>
      </c>
      <c r="AM4" s="6">
        <v>0.16964745521545399</v>
      </c>
      <c r="AO4" s="5">
        <v>34.570056762068198</v>
      </c>
      <c r="AP4" s="5">
        <v>4.5778664577056496</v>
      </c>
      <c r="AQ4" s="5">
        <v>1.67585968971252</v>
      </c>
      <c r="AR4" s="6">
        <v>1.8250170991933701</v>
      </c>
      <c r="AS4" s="6">
        <v>0.33633033357449799</v>
      </c>
      <c r="AT4" s="6">
        <v>1.7158291339874201</v>
      </c>
      <c r="AU4" s="5">
        <v>1.8523706039791701</v>
      </c>
      <c r="AV4" s="5">
        <v>0.34156715764353801</v>
      </c>
      <c r="AW4" s="5">
        <v>1.6030962467193599</v>
      </c>
      <c r="AX4" s="6">
        <v>1.8795419666048101</v>
      </c>
      <c r="AY4" s="6">
        <v>0.34574964955663201</v>
      </c>
      <c r="AZ4" s="4">
        <v>1.69498038291931</v>
      </c>
    </row>
    <row r="5" spans="2:52" x14ac:dyDescent="0.25">
      <c r="B5" s="5">
        <v>21.768763521560601</v>
      </c>
      <c r="C5" s="5">
        <v>3.1865062401780699</v>
      </c>
      <c r="D5" s="5">
        <v>1.7058701515197701</v>
      </c>
      <c r="E5" s="6">
        <v>10.978647285226099</v>
      </c>
      <c r="F5" s="6">
        <v>1.7065269254956801</v>
      </c>
      <c r="G5" s="6">
        <v>1.58817362785339</v>
      </c>
      <c r="H5" s="5">
        <v>4.85409002254627</v>
      </c>
      <c r="I5" s="5">
        <v>0.80897913982258796</v>
      </c>
      <c r="J5" s="5">
        <v>1.6496467590332</v>
      </c>
      <c r="K5" s="6">
        <v>0.89008783875792397</v>
      </c>
      <c r="L5" s="6">
        <v>0.27529653142885502</v>
      </c>
      <c r="M5" s="6">
        <v>1.8137743473052901</v>
      </c>
      <c r="O5" s="5">
        <v>49.008992449178898</v>
      </c>
      <c r="P5" s="5">
        <v>6.5588284593994697</v>
      </c>
      <c r="Q5" s="5">
        <v>1.6003003120422301</v>
      </c>
      <c r="R5" s="6">
        <v>1.6098328308093</v>
      </c>
      <c r="S5" s="6">
        <v>0.35390275267126498</v>
      </c>
      <c r="T5" s="6">
        <v>1.63829588890075</v>
      </c>
      <c r="U5" s="5">
        <v>2.6847186811052599</v>
      </c>
      <c r="V5" s="5">
        <v>0.49866574556051502</v>
      </c>
      <c r="W5" s="5">
        <v>1.63096380233764</v>
      </c>
      <c r="X5" s="6">
        <v>2.7075638424040802</v>
      </c>
      <c r="Y5" s="6">
        <v>0.55112744515069301</v>
      </c>
      <c r="Z5" s="4">
        <v>1.6707100868225</v>
      </c>
      <c r="AB5" s="5">
        <v>2.0576101229880499</v>
      </c>
      <c r="AC5" s="5">
        <v>0.37754673426285001</v>
      </c>
      <c r="AD5" s="5">
        <v>0.143673419952392</v>
      </c>
      <c r="AE5" s="6">
        <v>3.0231717517272201</v>
      </c>
      <c r="AF5" s="6">
        <v>0.65213375302212495</v>
      </c>
      <c r="AG5" s="6">
        <v>0.15351915359497001</v>
      </c>
      <c r="AH5" s="5">
        <v>3.0014742636059601</v>
      </c>
      <c r="AI5" s="5">
        <v>0.65213375302212495</v>
      </c>
      <c r="AJ5" s="5">
        <v>0.18802881240844699</v>
      </c>
      <c r="AK5" s="6">
        <v>3.0732721507638598</v>
      </c>
      <c r="AL5" s="6">
        <v>0.65213375302212495</v>
      </c>
      <c r="AM5" s="6">
        <v>0.164550065994262</v>
      </c>
      <c r="AO5" s="5">
        <v>34.554127832915199</v>
      </c>
      <c r="AP5" s="5">
        <v>4.5660618080018196</v>
      </c>
      <c r="AQ5" s="5">
        <v>1.51645755767822</v>
      </c>
      <c r="AR5" s="6">
        <v>1.96093445188255</v>
      </c>
      <c r="AS5" s="6">
        <v>0.35374707690719498</v>
      </c>
      <c r="AT5" s="6">
        <v>1.6856594085693299</v>
      </c>
      <c r="AU5" s="5">
        <v>1.9641721709049</v>
      </c>
      <c r="AV5" s="5">
        <v>0.36261738420721501</v>
      </c>
      <c r="AW5" s="5">
        <v>1.7167608737945499</v>
      </c>
      <c r="AX5" s="6">
        <v>1.91781862598536</v>
      </c>
      <c r="AY5" s="6">
        <v>0.35301643444209602</v>
      </c>
      <c r="AZ5" s="4">
        <v>1.7476181983947701</v>
      </c>
    </row>
    <row r="6" spans="2:52" x14ac:dyDescent="0.25">
      <c r="B6" s="5">
        <v>24.272210690591301</v>
      </c>
      <c r="C6" s="5">
        <v>3.3054398403598002</v>
      </c>
      <c r="D6" s="5">
        <v>1.7281901836395199</v>
      </c>
      <c r="E6" s="6">
        <v>11.131989491819301</v>
      </c>
      <c r="F6" s="6">
        <v>1.68616441676978</v>
      </c>
      <c r="G6" s="6">
        <v>1.66542267799377</v>
      </c>
      <c r="H6" s="5">
        <v>4.9373714864782201</v>
      </c>
      <c r="I6" s="5">
        <v>0.89188987256264995</v>
      </c>
      <c r="J6" s="5">
        <v>1.7395324707031199</v>
      </c>
      <c r="K6" s="6">
        <v>1.0114258900419599</v>
      </c>
      <c r="L6" s="6">
        <v>0.29627600535638898</v>
      </c>
      <c r="M6" s="6">
        <v>1.75975894927978</v>
      </c>
      <c r="O6" s="5">
        <v>50.370043311847297</v>
      </c>
      <c r="P6" s="5">
        <v>6.8266682265390397</v>
      </c>
      <c r="Q6" s="5">
        <v>1.6202797889709399</v>
      </c>
      <c r="R6" s="6">
        <v>3.31366070223083</v>
      </c>
      <c r="S6" s="6">
        <v>0.59823315379531405</v>
      </c>
      <c r="T6" s="6">
        <v>1.63130760192871</v>
      </c>
      <c r="U6" s="5">
        <v>1.8698821640777401</v>
      </c>
      <c r="V6" s="5">
        <v>0.36723080126573698</v>
      </c>
      <c r="W6" s="5">
        <v>1.6870131492614699</v>
      </c>
      <c r="X6" s="6">
        <v>2.4706305240653101</v>
      </c>
      <c r="Y6" s="6">
        <v>0.47413541013360899</v>
      </c>
      <c r="Z6" s="4">
        <v>1.6828861236572199</v>
      </c>
      <c r="AB6" s="5">
        <v>2.0124832402399999</v>
      </c>
      <c r="AC6" s="5">
        <v>0.37754673426285001</v>
      </c>
      <c r="AD6" s="5">
        <v>0.15831112861633301</v>
      </c>
      <c r="AE6" s="6">
        <v>3.1835707328913601</v>
      </c>
      <c r="AF6" s="6">
        <v>0.65565129784223597</v>
      </c>
      <c r="AG6" s="6">
        <v>0.15638685226440399</v>
      </c>
      <c r="AH6" s="5">
        <v>3.0052609093097602</v>
      </c>
      <c r="AI6" s="5">
        <v>0.65213375302212495</v>
      </c>
      <c r="AJ6" s="5">
        <v>0.1725754737854</v>
      </c>
      <c r="AK6" s="6">
        <v>2.9332438502332301</v>
      </c>
      <c r="AL6" s="6">
        <v>0.65213375302212495</v>
      </c>
      <c r="AM6" s="6">
        <v>0.17924475669860801</v>
      </c>
      <c r="AO6" s="5">
        <v>34.586395368105499</v>
      </c>
      <c r="AP6" s="5">
        <v>4.5775860505016004</v>
      </c>
      <c r="AQ6" s="5">
        <v>1.56898593902587</v>
      </c>
      <c r="AR6" s="6">
        <v>1.88217908842425</v>
      </c>
      <c r="AS6" s="6">
        <v>0.35140505638671998</v>
      </c>
      <c r="AT6" s="6">
        <v>1.71125292778015</v>
      </c>
      <c r="AU6" s="5">
        <v>1.8959378968298899</v>
      </c>
      <c r="AV6" s="5">
        <v>0.34943432354470599</v>
      </c>
      <c r="AW6" s="5">
        <v>1.7259268760681099</v>
      </c>
      <c r="AX6" s="6">
        <v>1.96427586073906</v>
      </c>
      <c r="AY6" s="6">
        <v>0.35731335216903298</v>
      </c>
      <c r="AZ6" s="4">
        <v>1.6857831478118801</v>
      </c>
    </row>
    <row r="7" spans="2:52" x14ac:dyDescent="0.25">
      <c r="B7" s="5">
        <v>24.404174573572501</v>
      </c>
      <c r="C7" s="5">
        <v>3.3186837088307102</v>
      </c>
      <c r="D7" s="5">
        <v>1.6409835815429601</v>
      </c>
      <c r="E7" s="6">
        <v>10.9557705531107</v>
      </c>
      <c r="F7" s="6">
        <v>1.57213037578915</v>
      </c>
      <c r="G7" s="6">
        <v>1.7363877296447701</v>
      </c>
      <c r="H7" s="5">
        <v>4.7911793814388997</v>
      </c>
      <c r="I7" s="5">
        <v>0.81751166683242105</v>
      </c>
      <c r="J7" s="5">
        <v>1.6679818630218499</v>
      </c>
      <c r="K7" s="6">
        <v>0.95254623904054903</v>
      </c>
      <c r="L7" s="6">
        <v>0.26236662864990901</v>
      </c>
      <c r="M7" s="6">
        <v>1.7274212837219201</v>
      </c>
      <c r="O7" s="5">
        <v>48.5283966162228</v>
      </c>
      <c r="P7" s="5">
        <v>6.39532451008645</v>
      </c>
      <c r="Q7" s="5">
        <v>1.5867009162902801</v>
      </c>
      <c r="R7" s="6">
        <v>2.3974738662768198</v>
      </c>
      <c r="S7" s="6">
        <v>0.49437600947429899</v>
      </c>
      <c r="T7" s="6">
        <v>1.67491650581359</v>
      </c>
      <c r="U7" s="5">
        <v>2.8090651842160401</v>
      </c>
      <c r="V7" s="5">
        <v>0.55561814716228497</v>
      </c>
      <c r="W7" s="5">
        <v>1.6501393318176201</v>
      </c>
      <c r="X7" s="6">
        <v>1.9235703445824599</v>
      </c>
      <c r="Y7" s="6">
        <v>0.37579443485147102</v>
      </c>
      <c r="Z7" s="4">
        <v>1.7136993408203101</v>
      </c>
      <c r="AB7" s="5">
        <v>1.98733133553576</v>
      </c>
      <c r="AC7" s="5">
        <v>0.37754673426285001</v>
      </c>
      <c r="AD7" s="5">
        <v>0.150824069976806</v>
      </c>
      <c r="AE7" s="6">
        <v>2.9709094694099698</v>
      </c>
      <c r="AF7" s="6">
        <v>0.65213375302212495</v>
      </c>
      <c r="AG7" s="6">
        <v>0.156632900238037</v>
      </c>
      <c r="AH7" s="5">
        <v>3.1234714223794802</v>
      </c>
      <c r="AI7" s="5">
        <v>0.65226013362701096</v>
      </c>
      <c r="AJ7" s="5">
        <v>0.16536331176757799</v>
      </c>
      <c r="AK7" s="6">
        <v>2.9332438502332301</v>
      </c>
      <c r="AL7" s="6">
        <v>0.65213375302212495</v>
      </c>
      <c r="AM7" s="6">
        <v>0.16520929336547799</v>
      </c>
      <c r="AO7" s="5">
        <v>34.474323231873001</v>
      </c>
      <c r="AP7" s="5">
        <v>4.5812551646225703</v>
      </c>
      <c r="AQ7" s="5">
        <v>1.63421034812927</v>
      </c>
      <c r="AR7" s="6">
        <v>1.88221703832479</v>
      </c>
      <c r="AS7" s="6">
        <v>0.35140505652889598</v>
      </c>
      <c r="AT7" s="6">
        <v>1.74588942527771</v>
      </c>
      <c r="AU7" s="5">
        <v>1.8654391378277699</v>
      </c>
      <c r="AV7" s="5">
        <v>0.35136993223547403</v>
      </c>
      <c r="AW7" s="5">
        <v>1.6497774124145499</v>
      </c>
      <c r="AX7" s="6">
        <v>1.9178899634194899</v>
      </c>
      <c r="AY7" s="6">
        <v>0.35300853576487501</v>
      </c>
      <c r="AZ7" s="4">
        <v>1.6674399375915501</v>
      </c>
    </row>
    <row r="8" spans="2:52" x14ac:dyDescent="0.25">
      <c r="B8" s="5">
        <v>24.519392747918499</v>
      </c>
      <c r="C8" s="5">
        <v>3.3765146340410901</v>
      </c>
      <c r="D8" s="5">
        <v>1.6353793144226001</v>
      </c>
      <c r="E8" s="6">
        <v>11.084394304570299</v>
      </c>
      <c r="F8" s="6">
        <v>1.71086338931697</v>
      </c>
      <c r="G8" s="6">
        <v>1.62926626205444</v>
      </c>
      <c r="H8" s="5">
        <v>4.5716851890135404</v>
      </c>
      <c r="I8" s="5">
        <v>0.78488713802412502</v>
      </c>
      <c r="J8" s="5">
        <v>1.79901099205017</v>
      </c>
      <c r="K8" s="6">
        <v>0.59342344244794798</v>
      </c>
      <c r="L8" s="6">
        <v>0.17203410846221501</v>
      </c>
      <c r="M8" s="6">
        <v>1.6365425586700399</v>
      </c>
      <c r="O8" s="5">
        <v>50.189180557709498</v>
      </c>
      <c r="P8" s="5">
        <v>6.8272041826728298</v>
      </c>
      <c r="Q8" s="5">
        <v>1.6410756111145</v>
      </c>
      <c r="R8" s="6">
        <v>2.3363436265518498</v>
      </c>
      <c r="S8" s="6">
        <v>0.49525277741667301</v>
      </c>
      <c r="T8" s="6">
        <v>1.68248891830444</v>
      </c>
      <c r="U8" s="5">
        <v>3.2921811589554202</v>
      </c>
      <c r="V8" s="5">
        <v>0.61038119286221504</v>
      </c>
      <c r="W8" s="5">
        <v>1.7693681716918901</v>
      </c>
      <c r="X8" s="6">
        <v>2.39747268966476</v>
      </c>
      <c r="Y8" s="6">
        <v>0.479906115601407</v>
      </c>
      <c r="Z8" s="4">
        <v>1.80891561508178</v>
      </c>
      <c r="AB8" s="5">
        <v>2.0045866890630801</v>
      </c>
      <c r="AC8" s="5">
        <v>0.37754673426285001</v>
      </c>
      <c r="AD8" s="5">
        <v>0.1446533203125</v>
      </c>
      <c r="AE8" s="6">
        <v>2.8887491003138202</v>
      </c>
      <c r="AF8" s="6">
        <v>0.65213375302212495</v>
      </c>
      <c r="AG8" s="6">
        <v>0.164668083190917</v>
      </c>
      <c r="AH8" s="5">
        <v>3.1300087680066402</v>
      </c>
      <c r="AI8" s="5">
        <v>0.65226013362701096</v>
      </c>
      <c r="AJ8" s="5">
        <v>0.20038580894470201</v>
      </c>
      <c r="AK8" s="6">
        <v>3.0895272691364801</v>
      </c>
      <c r="AL8" s="6">
        <v>0.65226013362701096</v>
      </c>
      <c r="AM8" s="6">
        <v>0.160871982574462</v>
      </c>
      <c r="AO8" s="5">
        <v>34.482423779545499</v>
      </c>
      <c r="AP8" s="5">
        <v>4.5801967278307698</v>
      </c>
      <c r="AQ8" s="5">
        <v>1.68693852424621</v>
      </c>
      <c r="AR8" s="6">
        <v>1.8315258657560201</v>
      </c>
      <c r="AS8" s="6">
        <v>0.34577767622515698</v>
      </c>
      <c r="AT8" s="6">
        <v>1.6904382705688401</v>
      </c>
      <c r="AU8" s="5">
        <v>1.8523461079911401</v>
      </c>
      <c r="AV8" s="5">
        <v>0.34156715758035</v>
      </c>
      <c r="AW8" s="5">
        <v>1.6989877223968499</v>
      </c>
      <c r="AX8" s="6">
        <v>1.94458113911453</v>
      </c>
      <c r="AY8" s="6">
        <v>0.36071379860479102</v>
      </c>
      <c r="AZ8" s="4">
        <v>1.66584968566894</v>
      </c>
    </row>
    <row r="9" spans="2:52" x14ac:dyDescent="0.25">
      <c r="B9" s="5">
        <v>24.310600989632899</v>
      </c>
      <c r="C9" s="5">
        <v>3.3225698262557399</v>
      </c>
      <c r="D9" s="5"/>
      <c r="E9" s="6">
        <v>11.078199731004901</v>
      </c>
      <c r="F9" s="6">
        <v>1.65069524058359</v>
      </c>
      <c r="G9" s="6"/>
      <c r="H9" s="5">
        <v>4.9807010405869097</v>
      </c>
      <c r="I9" s="5">
        <v>0.92921451381373998</v>
      </c>
      <c r="J9" s="5"/>
      <c r="K9" s="6">
        <v>0.56505155768495896</v>
      </c>
      <c r="L9" s="6">
        <v>0.16474922791581201</v>
      </c>
      <c r="M9" s="6"/>
      <c r="O9" s="5">
        <v>49.619431099961197</v>
      </c>
      <c r="P9" s="5">
        <v>6.6224281863214802</v>
      </c>
      <c r="Q9" s="5"/>
      <c r="R9" s="6">
        <v>2.06027858560702</v>
      </c>
      <c r="S9" s="6">
        <v>0.41902119187009701</v>
      </c>
      <c r="T9" s="6"/>
      <c r="U9" s="5">
        <v>2.1176598714663699</v>
      </c>
      <c r="V9" s="5">
        <v>0.420783326797598</v>
      </c>
      <c r="W9" s="5"/>
      <c r="X9" s="6">
        <v>1.05066650115089</v>
      </c>
      <c r="Y9" s="6">
        <v>0.25434177251207701</v>
      </c>
      <c r="Z9" s="4"/>
      <c r="AB9" s="5">
        <v>2.03035231561176</v>
      </c>
      <c r="AC9" s="5">
        <v>0.37754673426285001</v>
      </c>
      <c r="AD9" s="5">
        <v>0.142905473709106</v>
      </c>
      <c r="AE9" s="6">
        <v>3.0233946110574101</v>
      </c>
      <c r="AF9" s="6">
        <v>0.65226013362701096</v>
      </c>
      <c r="AG9" s="6"/>
      <c r="AH9" s="5">
        <v>3.0222659675151302</v>
      </c>
      <c r="AI9" s="5">
        <v>0.65226013362701096</v>
      </c>
      <c r="AJ9" s="5"/>
      <c r="AK9" s="6">
        <v>3.0231717517272201</v>
      </c>
      <c r="AL9" s="6">
        <v>0.65213375302212495</v>
      </c>
      <c r="AM9" s="6"/>
      <c r="AO9" s="5">
        <v>34.570056762068198</v>
      </c>
      <c r="AP9" s="5">
        <v>4.5778664577056496</v>
      </c>
      <c r="AQ9" s="5">
        <v>1.62964344024658</v>
      </c>
      <c r="AR9" s="6">
        <v>1.86147110489288</v>
      </c>
      <c r="AS9" s="6">
        <v>0.34558367107705801</v>
      </c>
      <c r="AT9" s="6">
        <v>1.6265385150909399</v>
      </c>
      <c r="AU9" s="5">
        <v>1.96362562254665</v>
      </c>
      <c r="AV9" s="5">
        <v>0.36222639562867198</v>
      </c>
      <c r="AW9" s="5">
        <v>1.72279024124145</v>
      </c>
      <c r="AX9" s="6">
        <v>1.9642715242957101</v>
      </c>
      <c r="AY9" s="6">
        <v>0.35731730151554097</v>
      </c>
      <c r="AZ9" s="4"/>
    </row>
    <row r="10" spans="2:52" x14ac:dyDescent="0.25">
      <c r="B10" s="5">
        <v>24.519392747918499</v>
      </c>
      <c r="C10" s="5">
        <v>3.3765146340410901</v>
      </c>
      <c r="D10" s="5"/>
      <c r="E10" s="6">
        <v>11.3283064247616</v>
      </c>
      <c r="F10" s="6">
        <v>1.75667635216019</v>
      </c>
      <c r="G10" s="6"/>
      <c r="H10" s="5">
        <v>4.3655684894788598</v>
      </c>
      <c r="I10" s="5">
        <v>0.72256847111010403</v>
      </c>
      <c r="J10" s="5"/>
      <c r="K10" s="6">
        <v>0.89008783875792397</v>
      </c>
      <c r="L10" s="6">
        <v>0.27529653142885502</v>
      </c>
      <c r="M10" s="6"/>
      <c r="O10" s="5">
        <v>50.370043311847297</v>
      </c>
      <c r="P10" s="5">
        <v>6.8266682265390397</v>
      </c>
      <c r="Q10" s="5"/>
      <c r="R10" s="6">
        <v>1.1013427759766601</v>
      </c>
      <c r="S10" s="6">
        <v>0.279195398098668</v>
      </c>
      <c r="T10" s="6"/>
      <c r="U10" s="5">
        <v>1.8886807440369899</v>
      </c>
      <c r="V10" s="5">
        <v>0.41993899419076303</v>
      </c>
      <c r="W10" s="5"/>
      <c r="X10" s="6">
        <v>1.08014977882427</v>
      </c>
      <c r="Y10" s="6">
        <v>0.28419236315363</v>
      </c>
      <c r="Z10" s="4"/>
      <c r="AB10" s="5">
        <v>2.0282019718480502</v>
      </c>
      <c r="AC10" s="5">
        <v>0.37754673426285001</v>
      </c>
      <c r="AD10" s="5">
        <v>0.151252746582031</v>
      </c>
      <c r="AE10" s="6">
        <v>3.0233946110574101</v>
      </c>
      <c r="AF10" s="6">
        <v>0.65226013362701096</v>
      </c>
      <c r="AG10" s="6"/>
      <c r="AH10" s="5">
        <v>3.0769912027266599</v>
      </c>
      <c r="AI10" s="5">
        <v>0.65226013362701096</v>
      </c>
      <c r="AJ10" s="5"/>
      <c r="AK10" s="6">
        <v>2.9681463342075101</v>
      </c>
      <c r="AL10" s="6">
        <v>0.65213375302212495</v>
      </c>
      <c r="AM10" s="6"/>
      <c r="AO10" s="5">
        <v>34.498810594745102</v>
      </c>
      <c r="AP10" s="5">
        <v>4.5805798233599297</v>
      </c>
      <c r="AQ10" s="5">
        <v>1.5438361167907699</v>
      </c>
      <c r="AR10" s="6">
        <v>1.86657481807766</v>
      </c>
      <c r="AS10" s="6">
        <v>0.34383410086548399</v>
      </c>
      <c r="AT10" s="6">
        <v>1.5724868774414</v>
      </c>
      <c r="AU10" s="5">
        <v>1.90028400803589</v>
      </c>
      <c r="AV10" s="5">
        <v>0.34945012130988901</v>
      </c>
      <c r="AW10" s="5">
        <v>1.7850067615509</v>
      </c>
      <c r="AX10" s="6">
        <v>1.90928027610508</v>
      </c>
      <c r="AY10" s="6">
        <v>0.34945018620593998</v>
      </c>
      <c r="AZ10" s="4"/>
    </row>
    <row r="11" spans="2:52" x14ac:dyDescent="0.25">
      <c r="B11" s="5">
        <v>21.996905724856099</v>
      </c>
      <c r="C11" s="5">
        <v>2.9856415262303599</v>
      </c>
      <c r="D11" s="5"/>
      <c r="E11" s="6">
        <v>11.0671269081706</v>
      </c>
      <c r="F11" s="6">
        <v>1.68567829653259</v>
      </c>
      <c r="G11" s="6"/>
      <c r="H11" s="5">
        <v>4.9579210625189001</v>
      </c>
      <c r="I11" s="5">
        <v>0.89091012676741499</v>
      </c>
      <c r="J11" s="5"/>
      <c r="K11" s="6">
        <v>0.95254623904054903</v>
      </c>
      <c r="L11" s="6">
        <v>0.26236662864990901</v>
      </c>
      <c r="M11" s="6"/>
      <c r="O11" s="5">
        <v>50.6021835670551</v>
      </c>
      <c r="P11" s="5">
        <v>6.8159615936773701</v>
      </c>
      <c r="Q11" s="5"/>
      <c r="R11" s="6">
        <v>2.4294044850569798</v>
      </c>
      <c r="S11" s="6">
        <v>0.491532450674801</v>
      </c>
      <c r="T11" s="6"/>
      <c r="U11" s="5">
        <v>2.4929016378617299</v>
      </c>
      <c r="V11" s="5">
        <v>0.47851192255269298</v>
      </c>
      <c r="W11" s="5"/>
      <c r="X11" s="6">
        <v>2.3570848611973498</v>
      </c>
      <c r="Y11" s="6">
        <v>0.47000785524292399</v>
      </c>
      <c r="Z11" s="4"/>
      <c r="AB11" s="5">
        <v>2.0045866890630801</v>
      </c>
      <c r="AC11" s="5">
        <v>0.37754673426285001</v>
      </c>
      <c r="AD11" s="5">
        <v>0.15222430229187001</v>
      </c>
      <c r="AE11" s="6">
        <v>3.1856421504299002</v>
      </c>
      <c r="AF11" s="6">
        <v>0.65565129784223597</v>
      </c>
      <c r="AG11" s="6"/>
      <c r="AH11" s="5">
        <v>3.1856421504299002</v>
      </c>
      <c r="AI11" s="5">
        <v>0.65565129784223597</v>
      </c>
      <c r="AJ11" s="5"/>
      <c r="AK11" s="6">
        <v>3.1450098960334101</v>
      </c>
      <c r="AL11" s="6">
        <v>0.65226013362701096</v>
      </c>
      <c r="AM11" s="6"/>
      <c r="AO11" s="5">
        <v>34.554127832915199</v>
      </c>
      <c r="AP11" s="5">
        <v>4.5660618080018196</v>
      </c>
      <c r="AQ11" s="5">
        <v>1.5707144737243599</v>
      </c>
      <c r="AR11" s="6">
        <v>1.81268296370352</v>
      </c>
      <c r="AS11" s="6">
        <v>0.33337223640394198</v>
      </c>
      <c r="AT11" s="6">
        <v>1.7173385620117101</v>
      </c>
      <c r="AU11" s="5">
        <v>1.96429126731902</v>
      </c>
      <c r="AV11" s="5">
        <v>0.35731730156293201</v>
      </c>
      <c r="AW11" s="5"/>
      <c r="AX11" s="6">
        <v>1.8795069801762501</v>
      </c>
      <c r="AY11" s="6">
        <v>0.34575359895052998</v>
      </c>
      <c r="AZ11" s="4"/>
    </row>
    <row r="12" spans="2:52" x14ac:dyDescent="0.25">
      <c r="B12" s="5">
        <v>24.073944136969398</v>
      </c>
      <c r="C12" s="5">
        <v>3.2906045777064898</v>
      </c>
      <c r="D12" s="5"/>
      <c r="E12" s="6">
        <v>10.871081688695201</v>
      </c>
      <c r="F12" s="6">
        <v>1.5456538017913899</v>
      </c>
      <c r="G12" s="6"/>
      <c r="H12" s="5">
        <v>4.5042629003538499</v>
      </c>
      <c r="I12" s="5">
        <v>0.75565867825603805</v>
      </c>
      <c r="J12" s="5"/>
      <c r="K12" s="6">
        <v>0.98179762818361005</v>
      </c>
      <c r="L12" s="6">
        <v>0.28993726071696102</v>
      </c>
      <c r="M12" s="6"/>
      <c r="O12" s="5">
        <v>48.5283966162228</v>
      </c>
      <c r="P12" s="5">
        <v>6.39532451008645</v>
      </c>
      <c r="Q12" s="5"/>
      <c r="R12" s="6">
        <v>2.8583793701106899</v>
      </c>
      <c r="S12" s="6">
        <v>0.57377303940268798</v>
      </c>
      <c r="T12" s="6"/>
      <c r="U12" s="5">
        <v>2.2571410688804598</v>
      </c>
      <c r="V12" s="5">
        <v>0.46259787093209498</v>
      </c>
      <c r="W12" s="5"/>
      <c r="X12" s="6">
        <v>2.4566723216903199</v>
      </c>
      <c r="Y12" s="6">
        <v>0.46852708080793398</v>
      </c>
      <c r="Z12" s="4"/>
      <c r="AB12" s="5">
        <v>2.0124832402399999</v>
      </c>
      <c r="AC12" s="5">
        <v>0.37754673426285001</v>
      </c>
      <c r="AD12" s="5">
        <v>0.145009040832519</v>
      </c>
      <c r="AE12" s="6">
        <v>2.9469306504008701</v>
      </c>
      <c r="AF12" s="6">
        <v>0.65213375302212495</v>
      </c>
      <c r="AG12" s="6"/>
      <c r="AH12" s="5">
        <v>3.1524446068305201</v>
      </c>
      <c r="AI12" s="5">
        <v>0.65226013362701096</v>
      </c>
      <c r="AJ12" s="5"/>
      <c r="AK12" s="6">
        <v>2.9709094694099698</v>
      </c>
      <c r="AL12" s="6">
        <v>0.65213375302212495</v>
      </c>
      <c r="AM12" s="6"/>
      <c r="AO12" s="5">
        <v>34.6014705772876</v>
      </c>
      <c r="AP12" s="5">
        <v>4.5785181060921998</v>
      </c>
      <c r="AQ12" s="5">
        <v>1.55043768882751</v>
      </c>
      <c r="AR12" s="6">
        <v>1.8125561645361601</v>
      </c>
      <c r="AS12" s="6">
        <v>0.33334854013531301</v>
      </c>
      <c r="AT12" s="6">
        <v>1.6649475097656199</v>
      </c>
      <c r="AU12" s="5">
        <v>1.96488011670068</v>
      </c>
      <c r="AV12" s="5">
        <v>0.36261343482516201</v>
      </c>
      <c r="AW12" s="5"/>
      <c r="AX12" s="6">
        <v>1.9178899634194899</v>
      </c>
      <c r="AY12" s="6">
        <v>0.35300853576487501</v>
      </c>
      <c r="AZ12" s="4"/>
    </row>
    <row r="13" spans="2:52" x14ac:dyDescent="0.25">
      <c r="B13" s="5">
        <v>24.073944136969398</v>
      </c>
      <c r="C13" s="5">
        <v>3.2906045777064898</v>
      </c>
      <c r="D13" s="5"/>
      <c r="E13" s="6">
        <v>11.065870149418</v>
      </c>
      <c r="F13" s="6">
        <v>1.7106619694696501</v>
      </c>
      <c r="G13" s="6"/>
      <c r="H13" s="5">
        <v>4.4913411407632298</v>
      </c>
      <c r="I13" s="5">
        <v>0.764781871349272</v>
      </c>
      <c r="J13" s="5"/>
      <c r="K13" s="6">
        <v>0.61764700512757498</v>
      </c>
      <c r="L13" s="6">
        <v>0.17697658502358601</v>
      </c>
      <c r="M13" s="6"/>
      <c r="O13" s="5">
        <v>50.813193764563998</v>
      </c>
      <c r="P13" s="5">
        <v>6.8053931798874796</v>
      </c>
      <c r="Q13" s="5"/>
      <c r="R13" s="6">
        <v>2.07438188382043</v>
      </c>
      <c r="S13" s="6">
        <v>0.43125921121579203</v>
      </c>
      <c r="T13" s="6"/>
      <c r="U13" s="5">
        <v>2.5100936022216298</v>
      </c>
      <c r="V13" s="5">
        <v>2.5100936022216298</v>
      </c>
      <c r="W13" s="5"/>
      <c r="X13" s="6">
        <v>2.6805114554649099</v>
      </c>
      <c r="Y13" s="6">
        <v>0.50105033491431605</v>
      </c>
      <c r="Z13" s="4"/>
      <c r="AB13" s="5">
        <v>2.0282019718480502</v>
      </c>
      <c r="AC13" s="5">
        <v>0.37754673426285001</v>
      </c>
      <c r="AD13" s="5">
        <v>0.15650820732116699</v>
      </c>
      <c r="AE13" s="6">
        <v>3.1450098960334101</v>
      </c>
      <c r="AF13" s="6">
        <v>0.65226013362701096</v>
      </c>
      <c r="AG13" s="6"/>
      <c r="AH13" s="5">
        <v>3.0895272691364801</v>
      </c>
      <c r="AI13" s="5">
        <v>0.65226013362701096</v>
      </c>
      <c r="AJ13" s="5"/>
      <c r="AK13" s="6">
        <v>3.1234714223794802</v>
      </c>
      <c r="AL13" s="6">
        <v>0.65226013362701096</v>
      </c>
      <c r="AM13" s="6"/>
      <c r="AO13" s="5">
        <v>34.63132536506</v>
      </c>
      <c r="AP13" s="5">
        <v>4.5643280255556196</v>
      </c>
      <c r="AQ13" s="5">
        <v>1.64094710350036</v>
      </c>
      <c r="AR13" s="6">
        <v>1.8250318583902301</v>
      </c>
      <c r="AS13" s="6">
        <v>0.33629873874712601</v>
      </c>
      <c r="AT13" s="6">
        <v>1.7591118812561</v>
      </c>
      <c r="AU13" s="5">
        <v>1.9040866582123299</v>
      </c>
      <c r="AV13" s="5">
        <v>0.35445006159312697</v>
      </c>
      <c r="AW13" s="5"/>
      <c r="AX13" s="6">
        <v>1.96429126731902</v>
      </c>
      <c r="AY13" s="6">
        <v>0.35731730156293201</v>
      </c>
      <c r="AZ13" s="4"/>
    </row>
    <row r="14" spans="2:52" x14ac:dyDescent="0.25">
      <c r="B14" s="8"/>
      <c r="C14" s="8"/>
      <c r="D14" s="8"/>
    </row>
    <row r="15" spans="2:52" x14ac:dyDescent="0.25">
      <c r="B15" s="41" t="s">
        <v>26</v>
      </c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22"/>
      <c r="O15" s="49" t="s">
        <v>29</v>
      </c>
      <c r="P15" s="49"/>
      <c r="Q15" s="49"/>
      <c r="R15" s="49"/>
      <c r="S15" s="49"/>
      <c r="T15" s="49"/>
      <c r="U15" s="49"/>
      <c r="V15" s="49"/>
      <c r="W15" s="49"/>
      <c r="X15" s="49"/>
      <c r="Y15" s="49"/>
      <c r="AB15" s="49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22"/>
      <c r="AO15" s="49" t="s">
        <v>30</v>
      </c>
      <c r="AP15" s="49"/>
      <c r="AQ15" s="49"/>
      <c r="AR15" s="49"/>
      <c r="AS15" s="49"/>
      <c r="AT15" s="49"/>
      <c r="AU15" s="49"/>
      <c r="AV15" s="49"/>
      <c r="AW15" s="49"/>
      <c r="AX15" s="49"/>
      <c r="AY15" s="49"/>
    </row>
    <row r="16" spans="2:52" x14ac:dyDescent="0.25">
      <c r="B16" s="42" t="s">
        <v>19</v>
      </c>
      <c r="C16" s="43"/>
      <c r="D16" s="44"/>
      <c r="E16" s="42" t="s">
        <v>21</v>
      </c>
      <c r="F16" s="43"/>
      <c r="G16" s="44"/>
      <c r="H16" s="45" t="s">
        <v>22</v>
      </c>
      <c r="I16" s="46"/>
      <c r="J16" s="47"/>
      <c r="K16" s="48" t="s">
        <v>16</v>
      </c>
      <c r="L16" s="48"/>
      <c r="M16" s="48"/>
      <c r="O16" s="42" t="s">
        <v>19</v>
      </c>
      <c r="P16" s="43"/>
      <c r="Q16" s="44"/>
      <c r="R16" s="42" t="s">
        <v>21</v>
      </c>
      <c r="S16" s="43"/>
      <c r="T16" s="44"/>
      <c r="U16" s="45" t="s">
        <v>22</v>
      </c>
      <c r="V16" s="46"/>
      <c r="W16" s="47"/>
      <c r="X16" s="48" t="s">
        <v>16</v>
      </c>
      <c r="Y16" s="48"/>
      <c r="Z16" s="48"/>
      <c r="AA16" s="22"/>
      <c r="AB16" s="42" t="s">
        <v>19</v>
      </c>
      <c r="AC16" s="43"/>
      <c r="AD16" s="44"/>
      <c r="AE16" s="42" t="s">
        <v>21</v>
      </c>
      <c r="AF16" s="43"/>
      <c r="AG16" s="44"/>
      <c r="AH16" s="45" t="s">
        <v>22</v>
      </c>
      <c r="AI16" s="46"/>
      <c r="AJ16" s="47"/>
      <c r="AK16" s="48" t="s">
        <v>16</v>
      </c>
      <c r="AL16" s="48"/>
      <c r="AM16" s="48"/>
      <c r="AO16" s="42" t="s">
        <v>19</v>
      </c>
      <c r="AP16" s="43"/>
      <c r="AQ16" s="44"/>
      <c r="AR16" s="42" t="s">
        <v>21</v>
      </c>
      <c r="AS16" s="43"/>
      <c r="AT16" s="44"/>
      <c r="AU16" s="45" t="s">
        <v>22</v>
      </c>
      <c r="AV16" s="46"/>
      <c r="AW16" s="47"/>
      <c r="AX16" s="48" t="s">
        <v>16</v>
      </c>
      <c r="AY16" s="48"/>
      <c r="AZ16" s="48"/>
    </row>
    <row r="17" spans="2:52" ht="45" x14ac:dyDescent="0.25">
      <c r="B17" s="3" t="s">
        <v>20</v>
      </c>
      <c r="C17" s="3" t="s">
        <v>9</v>
      </c>
      <c r="D17" s="28" t="s">
        <v>35</v>
      </c>
      <c r="E17" s="3" t="s">
        <v>20</v>
      </c>
      <c r="F17" s="3" t="s">
        <v>9</v>
      </c>
      <c r="G17" s="28" t="s">
        <v>35</v>
      </c>
      <c r="H17" s="9" t="s">
        <v>20</v>
      </c>
      <c r="I17" s="9" t="s">
        <v>9</v>
      </c>
      <c r="J17" s="28" t="s">
        <v>35</v>
      </c>
      <c r="K17" s="9" t="s">
        <v>20</v>
      </c>
      <c r="L17" s="9" t="s">
        <v>9</v>
      </c>
      <c r="M17" s="28" t="s">
        <v>35</v>
      </c>
      <c r="O17" s="3" t="s">
        <v>20</v>
      </c>
      <c r="P17" s="3" t="s">
        <v>9</v>
      </c>
      <c r="Q17" s="28" t="s">
        <v>35</v>
      </c>
      <c r="R17" s="3" t="s">
        <v>20</v>
      </c>
      <c r="S17" s="3" t="s">
        <v>9</v>
      </c>
      <c r="T17" s="28" t="s">
        <v>35</v>
      </c>
      <c r="U17" s="9" t="s">
        <v>20</v>
      </c>
      <c r="V17" s="9" t="s">
        <v>9</v>
      </c>
      <c r="W17" s="28" t="s">
        <v>35</v>
      </c>
      <c r="X17" s="9" t="s">
        <v>20</v>
      </c>
      <c r="Y17" s="9" t="s">
        <v>9</v>
      </c>
      <c r="Z17" s="28" t="s">
        <v>35</v>
      </c>
      <c r="AA17" s="31"/>
      <c r="AB17" s="28" t="s">
        <v>20</v>
      </c>
      <c r="AC17" s="3" t="s">
        <v>9</v>
      </c>
      <c r="AD17" s="28" t="s">
        <v>35</v>
      </c>
      <c r="AE17" s="3" t="s">
        <v>20</v>
      </c>
      <c r="AF17" s="3" t="s">
        <v>9</v>
      </c>
      <c r="AG17" s="28" t="s">
        <v>35</v>
      </c>
      <c r="AH17" s="9" t="s">
        <v>20</v>
      </c>
      <c r="AI17" s="9" t="s">
        <v>9</v>
      </c>
      <c r="AJ17" s="28" t="s">
        <v>35</v>
      </c>
      <c r="AK17" s="9" t="s">
        <v>20</v>
      </c>
      <c r="AL17" s="9" t="s">
        <v>9</v>
      </c>
      <c r="AM17" s="28" t="s">
        <v>35</v>
      </c>
      <c r="AO17" s="28" t="s">
        <v>20</v>
      </c>
      <c r="AP17" s="3" t="s">
        <v>9</v>
      </c>
      <c r="AQ17" s="28" t="s">
        <v>35</v>
      </c>
      <c r="AR17" s="3" t="s">
        <v>20</v>
      </c>
      <c r="AS17" s="3" t="s">
        <v>9</v>
      </c>
      <c r="AT17" s="28" t="s">
        <v>35</v>
      </c>
      <c r="AU17" s="9" t="s">
        <v>20</v>
      </c>
      <c r="AV17" s="9" t="s">
        <v>9</v>
      </c>
      <c r="AW17" s="28" t="s">
        <v>35</v>
      </c>
      <c r="AX17" s="9" t="s">
        <v>20</v>
      </c>
      <c r="AY17" s="9" t="s">
        <v>9</v>
      </c>
      <c r="AZ17" s="28" t="s">
        <v>35</v>
      </c>
    </row>
    <row r="18" spans="2:52" x14ac:dyDescent="0.25">
      <c r="B18" s="5">
        <v>63.099979779433802</v>
      </c>
      <c r="C18" s="5">
        <v>6.1914618829412298</v>
      </c>
      <c r="D18" s="5"/>
      <c r="E18" s="6">
        <v>38.709515333735297</v>
      </c>
      <c r="F18" s="6">
        <v>3.8325863905188302</v>
      </c>
      <c r="G18" s="6"/>
      <c r="H18" s="5">
        <v>19.3125609083041</v>
      </c>
      <c r="I18" s="5">
        <v>2.3699129682412501</v>
      </c>
      <c r="J18" s="5"/>
      <c r="K18" s="6">
        <v>5.11904383725365</v>
      </c>
      <c r="L18" s="6">
        <v>0.73005812699544603</v>
      </c>
      <c r="M18" s="29"/>
      <c r="O18" s="5">
        <v>157.491792122156</v>
      </c>
      <c r="P18" s="5">
        <v>14.514140074457901</v>
      </c>
      <c r="Q18" s="5"/>
      <c r="R18" s="6">
        <v>2.3286845435735199</v>
      </c>
      <c r="S18" s="6">
        <v>0.39920932369799</v>
      </c>
      <c r="T18" s="6"/>
      <c r="U18" s="5">
        <v>8.1717884699325491</v>
      </c>
      <c r="V18" s="5">
        <v>1.0129108861659399</v>
      </c>
      <c r="W18" s="5"/>
      <c r="X18" s="6">
        <v>8.3899543661545302</v>
      </c>
      <c r="Y18" s="6">
        <v>1.00475359299919</v>
      </c>
      <c r="AB18" s="30">
        <v>13.236245367749699</v>
      </c>
      <c r="AC18" s="5">
        <v>1.57146153421673</v>
      </c>
      <c r="AD18" s="5"/>
      <c r="AE18" s="6">
        <v>1.90493440038017</v>
      </c>
      <c r="AF18" s="6">
        <v>0.45806793222847902</v>
      </c>
      <c r="AG18" s="6"/>
      <c r="AH18" s="5">
        <v>1.9321830134050899</v>
      </c>
      <c r="AI18" s="5">
        <v>0.473754446095489</v>
      </c>
      <c r="AJ18" s="5"/>
      <c r="AK18" s="6">
        <v>1.92632846796436</v>
      </c>
      <c r="AL18" s="6">
        <v>0.473754446095489</v>
      </c>
      <c r="AM18" s="6"/>
      <c r="AO18" s="5">
        <v>59.705630088686199</v>
      </c>
      <c r="AP18" s="5">
        <v>5.6586034268060601</v>
      </c>
      <c r="AQ18" s="5"/>
      <c r="AR18" s="6">
        <v>4.2657953513727804</v>
      </c>
      <c r="AS18" s="6">
        <v>0.73609280545728795</v>
      </c>
      <c r="AT18" s="6"/>
      <c r="AU18" s="5">
        <v>4.3067382375590597</v>
      </c>
      <c r="AV18" s="5">
        <v>0.78876787017055605</v>
      </c>
      <c r="AW18" s="5"/>
      <c r="AX18" s="6">
        <v>4.5961418368911104</v>
      </c>
      <c r="AY18" s="6">
        <v>0.77049022674415901</v>
      </c>
      <c r="AZ18" s="4"/>
    </row>
    <row r="19" spans="2:52" x14ac:dyDescent="0.25">
      <c r="B19" s="5">
        <v>63.042735492357899</v>
      </c>
      <c r="C19" s="5">
        <v>6.1856100787064499</v>
      </c>
      <c r="D19" s="5"/>
      <c r="E19" s="6">
        <v>39.095490109684498</v>
      </c>
      <c r="F19" s="6">
        <v>4.2537857712330602</v>
      </c>
      <c r="G19" s="6"/>
      <c r="H19" s="5">
        <v>20.411768203387801</v>
      </c>
      <c r="I19" s="5">
        <v>2.4708117784551198</v>
      </c>
      <c r="J19" s="5"/>
      <c r="K19" s="6">
        <v>5.6384534247001596</v>
      </c>
      <c r="L19" s="6">
        <v>0.86446282869091995</v>
      </c>
      <c r="M19" s="29"/>
      <c r="O19" s="5">
        <v>157.29900707611901</v>
      </c>
      <c r="P19" s="5">
        <v>14.4931915247916</v>
      </c>
      <c r="Q19" s="5"/>
      <c r="R19" s="6">
        <v>7.8733419303139298</v>
      </c>
      <c r="S19" s="6">
        <v>1.00388575257059</v>
      </c>
      <c r="T19" s="6"/>
      <c r="U19" s="5">
        <v>6.2307112245394896</v>
      </c>
      <c r="V19" s="5">
        <v>0.945277006207351</v>
      </c>
      <c r="W19" s="5"/>
      <c r="X19" s="6">
        <v>2.61612899501934</v>
      </c>
      <c r="Y19" s="6">
        <v>0.46057620855832399</v>
      </c>
      <c r="AB19" s="30">
        <v>13.236245367749699</v>
      </c>
      <c r="AC19" s="5">
        <v>1.57146153421673</v>
      </c>
      <c r="AD19" s="5"/>
      <c r="AE19" s="6">
        <v>1.9004171801880201</v>
      </c>
      <c r="AF19" s="6">
        <v>0.45806793222847902</v>
      </c>
      <c r="AG19" s="6"/>
      <c r="AH19" s="5">
        <v>1.90072564987806</v>
      </c>
      <c r="AI19" s="5">
        <v>0.473754446095489</v>
      </c>
      <c r="AJ19" s="5"/>
      <c r="AK19" s="6">
        <v>1.92872858661624</v>
      </c>
      <c r="AL19" s="6">
        <v>0.473754446095489</v>
      </c>
      <c r="AM19" s="6"/>
      <c r="AO19" s="5">
        <v>60.177890822449797</v>
      </c>
      <c r="AP19" s="5">
        <v>5.7023692293553001</v>
      </c>
      <c r="AQ19" s="5"/>
      <c r="AR19" s="6">
        <v>3.9426046524217799</v>
      </c>
      <c r="AS19" s="6">
        <v>0.82754599084641001</v>
      </c>
      <c r="AT19" s="6"/>
      <c r="AU19" s="5">
        <v>4.3359389837744198</v>
      </c>
      <c r="AV19" s="5">
        <v>0.78875255111021403</v>
      </c>
      <c r="AW19" s="5"/>
      <c r="AX19" s="6">
        <v>4.1287261615403503</v>
      </c>
      <c r="AY19" s="6">
        <v>0.74457174085613997</v>
      </c>
      <c r="AZ19" s="4"/>
    </row>
    <row r="20" spans="2:52" x14ac:dyDescent="0.25">
      <c r="B20" s="5">
        <v>72.908948571677797</v>
      </c>
      <c r="C20" s="5">
        <v>7.1074838375327802</v>
      </c>
      <c r="D20" s="5"/>
      <c r="E20" s="6">
        <v>36.801848784197297</v>
      </c>
      <c r="F20" s="6">
        <v>3.8240526776722201</v>
      </c>
      <c r="G20" s="6"/>
      <c r="H20" s="5">
        <v>20.914445133886598</v>
      </c>
      <c r="I20" s="5">
        <v>2.3923524354409</v>
      </c>
      <c r="J20" s="5"/>
      <c r="K20" s="6">
        <v>4.1229650041350698</v>
      </c>
      <c r="L20" s="6">
        <v>0.61635383312902503</v>
      </c>
      <c r="M20" s="29"/>
      <c r="O20" s="5">
        <v>159.352853227227</v>
      </c>
      <c r="P20" s="5">
        <v>14.678664624417801</v>
      </c>
      <c r="Q20" s="5"/>
      <c r="R20" s="6">
        <v>5.3107040461542097</v>
      </c>
      <c r="S20" s="6">
        <v>0.93572788648500804</v>
      </c>
      <c r="T20" s="6"/>
      <c r="U20" s="5">
        <v>8.8419317184422397</v>
      </c>
      <c r="V20" s="5">
        <v>1.0105737421724099</v>
      </c>
      <c r="W20" s="5"/>
      <c r="X20" s="6">
        <v>8.9036487278638106</v>
      </c>
      <c r="Y20" s="6">
        <v>1.0174902634114</v>
      </c>
      <c r="AB20" s="30">
        <v>13.2496111916915</v>
      </c>
      <c r="AC20" s="5">
        <v>1.57146153421673</v>
      </c>
      <c r="AD20" s="5"/>
      <c r="AE20" s="6">
        <v>1.8928704695040199</v>
      </c>
      <c r="AF20" s="6">
        <v>0.45806793222847902</v>
      </c>
      <c r="AG20" s="6"/>
      <c r="AH20" s="5">
        <v>1.9254081019906799</v>
      </c>
      <c r="AI20" s="5">
        <v>0.473754446095489</v>
      </c>
      <c r="AJ20" s="5"/>
      <c r="AK20" s="6">
        <v>1.9310103588079299</v>
      </c>
      <c r="AL20" s="6">
        <v>0.473754446095489</v>
      </c>
      <c r="AM20" s="6"/>
      <c r="AO20" s="5">
        <v>59.800266675023899</v>
      </c>
      <c r="AP20" s="5">
        <v>5.6589098186134796</v>
      </c>
      <c r="AQ20" s="5"/>
      <c r="AR20" s="6">
        <v>4.0062601639211897</v>
      </c>
      <c r="AS20" s="6">
        <v>0.73795381895044299</v>
      </c>
      <c r="AT20" s="6"/>
      <c r="AU20" s="5">
        <v>4.6177380245423496</v>
      </c>
      <c r="AV20" s="5">
        <v>0.76894302136484705</v>
      </c>
      <c r="AW20" s="5"/>
      <c r="AX20" s="6">
        <v>4.16152269917868</v>
      </c>
      <c r="AY20" s="6">
        <v>0.74186796986636905</v>
      </c>
      <c r="AZ20" s="4"/>
    </row>
    <row r="21" spans="2:52" x14ac:dyDescent="0.25">
      <c r="B21" s="5">
        <v>70.511895936223198</v>
      </c>
      <c r="C21" s="5">
        <v>6.8951414417694101</v>
      </c>
      <c r="D21" s="5"/>
      <c r="E21" s="6">
        <v>39.467779525017903</v>
      </c>
      <c r="F21" s="6">
        <v>4.2341015047491899</v>
      </c>
      <c r="G21" s="6"/>
      <c r="H21" s="5">
        <v>18.750581694913599</v>
      </c>
      <c r="I21" s="5">
        <v>2.4296486890765299</v>
      </c>
      <c r="J21" s="5"/>
      <c r="K21" s="6">
        <v>5.1094258927303402</v>
      </c>
      <c r="L21" s="6">
        <v>0.72984480789211603</v>
      </c>
      <c r="M21" s="29"/>
      <c r="O21" s="5">
        <v>157.29900707611901</v>
      </c>
      <c r="P21" s="5">
        <v>14.4931915247916</v>
      </c>
      <c r="Q21" s="5"/>
      <c r="R21" s="6">
        <v>8.1890386233641905</v>
      </c>
      <c r="S21" s="6">
        <v>0.972966699771316</v>
      </c>
      <c r="T21" s="6"/>
      <c r="U21" s="5">
        <v>2.5979047772938402</v>
      </c>
      <c r="V21" s="5">
        <v>0.49508952439015402</v>
      </c>
      <c r="W21" s="5"/>
      <c r="X21" s="6">
        <v>5.7322415986417496</v>
      </c>
      <c r="Y21" s="6">
        <v>0.97220188931186902</v>
      </c>
      <c r="AB21" s="30">
        <v>13.308572250548099</v>
      </c>
      <c r="AC21" s="5">
        <v>1.57146153421673</v>
      </c>
      <c r="AD21" s="5"/>
      <c r="AE21" s="6">
        <v>1.89579470823163</v>
      </c>
      <c r="AF21" s="6">
        <v>0.45806793222847902</v>
      </c>
      <c r="AG21" s="6"/>
      <c r="AH21" s="5">
        <v>1.92809473746348</v>
      </c>
      <c r="AI21" s="5">
        <v>0.473754446095489</v>
      </c>
      <c r="AJ21" s="5"/>
      <c r="AK21" s="6">
        <v>1.9041536308450699</v>
      </c>
      <c r="AL21" s="6">
        <v>0.473754446095489</v>
      </c>
      <c r="AM21" s="6"/>
      <c r="AO21" s="5">
        <v>59.763577152087599</v>
      </c>
      <c r="AP21" s="5">
        <v>5.6605565868401699</v>
      </c>
      <c r="AQ21" s="5"/>
      <c r="AR21" s="6">
        <v>4.0965064780371803</v>
      </c>
      <c r="AS21" s="6">
        <v>0.74199230991249299</v>
      </c>
      <c r="AT21" s="6"/>
      <c r="AU21" s="5">
        <v>5.0523507457567902</v>
      </c>
      <c r="AV21" s="5">
        <v>0.82059037677546498</v>
      </c>
      <c r="AW21" s="5"/>
      <c r="AX21" s="6">
        <v>4.5857896450893199</v>
      </c>
      <c r="AY21" s="6">
        <v>0.77052852380524195</v>
      </c>
      <c r="AZ21" s="4"/>
    </row>
    <row r="22" spans="2:52" x14ac:dyDescent="0.25">
      <c r="B22" s="5">
        <v>63.110926462975499</v>
      </c>
      <c r="C22" s="5">
        <v>6.1958200918135802</v>
      </c>
      <c r="D22" s="5"/>
      <c r="E22" s="6">
        <v>39.008448280288803</v>
      </c>
      <c r="F22" s="6">
        <v>4.1939352765130602</v>
      </c>
      <c r="G22" s="6"/>
      <c r="H22" s="5">
        <v>18.643327675462999</v>
      </c>
      <c r="I22" s="5">
        <v>2.3640932751286399</v>
      </c>
      <c r="J22" s="5"/>
      <c r="K22" s="6">
        <v>4.1024572901030796</v>
      </c>
      <c r="L22" s="6">
        <v>0.66684968307617798</v>
      </c>
      <c r="M22" s="29"/>
      <c r="O22" s="5">
        <v>156.63177221391601</v>
      </c>
      <c r="P22" s="5">
        <v>14.552850092942499</v>
      </c>
      <c r="Q22" s="5"/>
      <c r="R22" s="6">
        <v>1.5954382843530299</v>
      </c>
      <c r="S22" s="6">
        <v>0.34093122957817401</v>
      </c>
      <c r="T22" s="6"/>
      <c r="U22" s="5">
        <v>5.2511580596295104</v>
      </c>
      <c r="V22" s="5">
        <v>0.95645330203096601</v>
      </c>
      <c r="W22" s="5"/>
      <c r="X22" s="6">
        <v>7.8646628653608701</v>
      </c>
      <c r="Y22" s="6">
        <v>0.98780444655659705</v>
      </c>
      <c r="AB22" s="30">
        <v>13.2363942457426</v>
      </c>
      <c r="AC22" s="5">
        <v>1.57146153421673</v>
      </c>
      <c r="AD22" s="5"/>
      <c r="AE22" s="6">
        <v>1.84677639533975</v>
      </c>
      <c r="AF22" s="6">
        <v>0.40847846441090702</v>
      </c>
      <c r="AG22" s="6"/>
      <c r="AH22" s="5">
        <v>1.9129533293466101</v>
      </c>
      <c r="AI22" s="5">
        <v>0.473754446095489</v>
      </c>
      <c r="AJ22" s="5"/>
      <c r="AK22" s="6">
        <v>1.8932005458435199</v>
      </c>
      <c r="AL22" s="6">
        <v>0.473754446095489</v>
      </c>
      <c r="AM22" s="6"/>
      <c r="AO22" s="5">
        <v>59.788459460005697</v>
      </c>
      <c r="AP22" s="5">
        <v>5.6563668900060096</v>
      </c>
      <c r="AQ22" s="5"/>
      <c r="AR22" s="6">
        <v>4.7948084662286998</v>
      </c>
      <c r="AS22" s="6">
        <v>0.78044091788651704</v>
      </c>
      <c r="AT22" s="6"/>
      <c r="AU22" s="5">
        <v>4.67808128757747</v>
      </c>
      <c r="AV22" s="5">
        <v>0.78459048978145696</v>
      </c>
      <c r="AW22" s="5"/>
      <c r="AX22" s="6">
        <v>4.8692804147897402</v>
      </c>
      <c r="AY22" s="6">
        <v>0.79097844961616104</v>
      </c>
      <c r="AZ22" s="4"/>
    </row>
    <row r="23" spans="2:52" x14ac:dyDescent="0.25">
      <c r="B23" s="5">
        <v>62.8215712107041</v>
      </c>
      <c r="C23" s="5">
        <v>6.1644623938783498</v>
      </c>
      <c r="D23" s="5"/>
      <c r="E23" s="6">
        <v>40.482494792718498</v>
      </c>
      <c r="F23" s="6">
        <v>4.2282882529463404</v>
      </c>
      <c r="G23" s="6"/>
      <c r="H23" s="5">
        <v>20.0793381879792</v>
      </c>
      <c r="I23" s="5">
        <v>2.1635460449911998</v>
      </c>
      <c r="J23" s="5"/>
      <c r="K23" s="6">
        <v>2.3660210022197701</v>
      </c>
      <c r="L23" s="6">
        <v>0.52390907977896095</v>
      </c>
      <c r="M23" s="29"/>
      <c r="O23" s="5">
        <v>156.986009517112</v>
      </c>
      <c r="P23" s="5">
        <v>14.467486922240001</v>
      </c>
      <c r="Q23" s="5"/>
      <c r="R23" s="6">
        <v>1.88753858403897</v>
      </c>
      <c r="S23" s="6">
        <v>0.42837619544093197</v>
      </c>
      <c r="T23" s="6"/>
      <c r="U23" s="5">
        <v>7.1603524175097304</v>
      </c>
      <c r="V23" s="5">
        <v>1.00026650116511</v>
      </c>
      <c r="W23" s="5"/>
      <c r="X23" s="6">
        <v>3.1299735370558799</v>
      </c>
      <c r="Y23" s="6">
        <v>0.73135202091426998</v>
      </c>
      <c r="AB23" s="30">
        <v>13.308674501574901</v>
      </c>
      <c r="AC23" s="5">
        <v>1.57146153421673</v>
      </c>
      <c r="AD23" s="5"/>
      <c r="AE23" s="6">
        <v>1.84679124914915</v>
      </c>
      <c r="AF23" s="6">
        <v>0.40847846441090702</v>
      </c>
      <c r="AG23" s="6"/>
      <c r="AH23" s="5">
        <v>1.90072564987806</v>
      </c>
      <c r="AI23" s="5">
        <v>0.473754446095489</v>
      </c>
      <c r="AJ23" s="5"/>
      <c r="AK23" s="6">
        <v>1.9321830134050899</v>
      </c>
      <c r="AL23" s="6">
        <v>0.473754446095489</v>
      </c>
      <c r="AM23" s="6"/>
      <c r="AO23" s="5">
        <v>59.704796494574303</v>
      </c>
      <c r="AP23" s="5">
        <v>5.65854215154509</v>
      </c>
      <c r="AQ23" s="5"/>
      <c r="AR23" s="6">
        <v>4.2657953513727804</v>
      </c>
      <c r="AS23" s="6">
        <v>0.73609280545728795</v>
      </c>
      <c r="AT23" s="6"/>
      <c r="AU23" s="5">
        <v>4.6146231262904296</v>
      </c>
      <c r="AV23" s="5">
        <v>0.77049022674415901</v>
      </c>
      <c r="AW23" s="5"/>
      <c r="AX23" s="6">
        <v>3.16447739831071</v>
      </c>
      <c r="AY23" s="6">
        <v>0.654757088945225</v>
      </c>
      <c r="AZ23" s="4"/>
    </row>
    <row r="24" spans="2:52" x14ac:dyDescent="0.25">
      <c r="B24" s="5">
        <v>63.110926462975499</v>
      </c>
      <c r="C24" s="5">
        <v>6.1958200918135802</v>
      </c>
      <c r="D24" s="5"/>
      <c r="E24" s="6">
        <v>38.007488630184902</v>
      </c>
      <c r="F24" s="6">
        <v>3.9127982684980802</v>
      </c>
      <c r="G24" s="6"/>
      <c r="H24" s="5">
        <v>16.411368520801499</v>
      </c>
      <c r="I24" s="5">
        <v>1.9866453743771599</v>
      </c>
      <c r="J24" s="5"/>
      <c r="K24" s="6">
        <v>5.6837329490139403</v>
      </c>
      <c r="L24" s="6">
        <v>0.85510723023493096</v>
      </c>
      <c r="M24" s="29"/>
      <c r="O24" s="5">
        <v>158.196014729155</v>
      </c>
      <c r="P24" s="5">
        <v>14.575139783219001</v>
      </c>
      <c r="Q24" s="5"/>
      <c r="R24" s="6">
        <v>8.2933809227974091</v>
      </c>
      <c r="S24" s="6">
        <v>1.08744489439875</v>
      </c>
      <c r="T24" s="6"/>
      <c r="U24" s="5">
        <v>8.3113921906864903</v>
      </c>
      <c r="V24" s="5">
        <v>1.00724186950316</v>
      </c>
      <c r="W24" s="5"/>
      <c r="X24" s="6">
        <v>8.9040477791919201</v>
      </c>
      <c r="Y24" s="6">
        <v>1.0147213122487999</v>
      </c>
      <c r="AB24" s="30">
        <v>13.308572250548099</v>
      </c>
      <c r="AC24" s="5">
        <v>1.57146153421673</v>
      </c>
      <c r="AD24" s="5"/>
      <c r="AE24" s="6">
        <v>1.8928399139471399</v>
      </c>
      <c r="AF24" s="6">
        <v>0.45806793222847902</v>
      </c>
      <c r="AG24" s="6"/>
      <c r="AH24" s="5">
        <v>1.92726370795321</v>
      </c>
      <c r="AI24" s="5">
        <v>0.473754446095489</v>
      </c>
      <c r="AJ24" s="5"/>
      <c r="AK24" s="6">
        <v>1.90072564987806</v>
      </c>
      <c r="AL24" s="6">
        <v>0.473754446095489</v>
      </c>
      <c r="AM24" s="6"/>
      <c r="AO24" s="5">
        <v>59.763577152087599</v>
      </c>
      <c r="AP24" s="5">
        <v>5.6605565868401699</v>
      </c>
      <c r="AQ24" s="5"/>
      <c r="AR24" s="6">
        <v>4.0062601639211897</v>
      </c>
      <c r="AS24" s="6">
        <v>0.73795381895044299</v>
      </c>
      <c r="AT24" s="6"/>
      <c r="AU24" s="5">
        <v>3.20141786716691</v>
      </c>
      <c r="AV24" s="5">
        <v>0.654749429514626</v>
      </c>
      <c r="AW24" s="5"/>
      <c r="AX24" s="6">
        <v>3.27705316310352</v>
      </c>
      <c r="AY24" s="6">
        <v>0.65983546495578804</v>
      </c>
      <c r="AZ24" s="4"/>
    </row>
    <row r="25" spans="2:52" x14ac:dyDescent="0.25">
      <c r="B25" s="5">
        <v>62.948412428098202</v>
      </c>
      <c r="C25" s="5">
        <v>6.1773991708045601</v>
      </c>
      <c r="D25" s="5"/>
      <c r="E25" s="6">
        <v>38.424321998081503</v>
      </c>
      <c r="F25" s="6">
        <v>3.7962006425224999</v>
      </c>
      <c r="G25" s="6"/>
      <c r="H25" s="5">
        <v>19.3437107481444</v>
      </c>
      <c r="I25" s="5">
        <v>2.4587922053428302</v>
      </c>
      <c r="J25" s="5"/>
      <c r="K25" s="6">
        <v>2.4786078157861602</v>
      </c>
      <c r="L25" s="6">
        <v>0.661985006820213</v>
      </c>
      <c r="M25" s="29"/>
      <c r="O25" s="5">
        <v>157.491792122156</v>
      </c>
      <c r="P25" s="5">
        <v>14.514140074457901</v>
      </c>
      <c r="Q25" s="5"/>
      <c r="R25" s="6">
        <v>7.9528826625526996</v>
      </c>
      <c r="S25" s="6">
        <v>1.00403884516471</v>
      </c>
      <c r="T25" s="6"/>
      <c r="U25" s="5">
        <v>2.5901809467614498</v>
      </c>
      <c r="V25" s="5">
        <v>0.71838880869329702</v>
      </c>
      <c r="W25" s="5"/>
      <c r="X25" s="6">
        <v>2.8818765035072902</v>
      </c>
      <c r="Y25" s="6">
        <v>0.731352021572787</v>
      </c>
      <c r="AB25" s="30">
        <v>13.2496111916915</v>
      </c>
      <c r="AC25" s="5">
        <v>1.57146153421673</v>
      </c>
      <c r="AD25" s="5"/>
      <c r="AE25" s="6">
        <v>1.88988196952168</v>
      </c>
      <c r="AF25" s="6">
        <v>0.45806793222847902</v>
      </c>
      <c r="AG25" s="6"/>
      <c r="AH25" s="5">
        <v>1.9000822249987701</v>
      </c>
      <c r="AI25" s="5">
        <v>0.473754446095489</v>
      </c>
      <c r="AJ25" s="5"/>
      <c r="AK25" s="6">
        <v>1.9261561832388601</v>
      </c>
      <c r="AL25" s="6">
        <v>0.473754446095489</v>
      </c>
      <c r="AM25" s="6"/>
      <c r="AO25" s="5">
        <v>59.780185400258901</v>
      </c>
      <c r="AP25" s="5">
        <v>5.6572783626149601</v>
      </c>
      <c r="AQ25" s="5"/>
      <c r="AR25" s="6">
        <v>3.99030456835369</v>
      </c>
      <c r="AS25" s="6">
        <v>0.73808402950040897</v>
      </c>
      <c r="AT25" s="6"/>
      <c r="AU25" s="5">
        <v>4.4974089192370004</v>
      </c>
      <c r="AV25" s="5">
        <v>0.76155164534629505</v>
      </c>
      <c r="AW25" s="5"/>
      <c r="AX25" s="6">
        <v>4.7203610704798997</v>
      </c>
      <c r="AY25" s="6">
        <v>0.97485233337667998</v>
      </c>
      <c r="AZ25" s="4"/>
    </row>
    <row r="26" spans="2:52" x14ac:dyDescent="0.25">
      <c r="B26" s="5">
        <v>62.8215712107041</v>
      </c>
      <c r="C26" s="5">
        <v>6.1644623938783498</v>
      </c>
      <c r="D26" s="5"/>
      <c r="E26" s="6">
        <v>37.969670161082703</v>
      </c>
      <c r="F26" s="6">
        <v>3.82926654229257</v>
      </c>
      <c r="G26" s="6"/>
      <c r="H26" s="5">
        <v>19.3437107481444</v>
      </c>
      <c r="I26" s="5">
        <v>2.4587922053428302</v>
      </c>
      <c r="J26" s="5"/>
      <c r="K26" s="6">
        <v>4.0774073509920701</v>
      </c>
      <c r="L26" s="6">
        <v>0.61961678721450797</v>
      </c>
      <c r="M26" s="29"/>
      <c r="O26" s="5">
        <v>156.87408337816299</v>
      </c>
      <c r="P26" s="5">
        <v>14.5729484252851</v>
      </c>
      <c r="Q26" s="5"/>
      <c r="R26" s="6">
        <v>2.2530507252529302</v>
      </c>
      <c r="S26" s="6">
        <v>0.38723762689095498</v>
      </c>
      <c r="T26" s="6"/>
      <c r="U26" s="5">
        <v>4.3416457442441896</v>
      </c>
      <c r="V26" s="5">
        <v>0.81790916195557295</v>
      </c>
      <c r="W26" s="5"/>
      <c r="X26" s="6">
        <v>6.8467498165278498</v>
      </c>
      <c r="Y26" s="6">
        <v>0.86006578658153399</v>
      </c>
      <c r="AB26" s="30">
        <v>13.2958588107644</v>
      </c>
      <c r="AC26" s="5">
        <v>1.57146153421673</v>
      </c>
      <c r="AD26" s="5"/>
      <c r="AE26" s="6">
        <v>1.88577925752618</v>
      </c>
      <c r="AF26" s="6">
        <v>0.45806793222847902</v>
      </c>
      <c r="AG26" s="6"/>
      <c r="AH26" s="5">
        <v>1.9129598430242301</v>
      </c>
      <c r="AI26" s="5">
        <v>0.473754446095489</v>
      </c>
      <c r="AJ26" s="5"/>
      <c r="AK26" s="6">
        <v>1.90072564987806</v>
      </c>
      <c r="AL26" s="6">
        <v>0.473754446095489</v>
      </c>
      <c r="AM26" s="6"/>
      <c r="AO26" s="5">
        <v>59.763577152087599</v>
      </c>
      <c r="AP26" s="5">
        <v>5.6605565868401699</v>
      </c>
      <c r="AQ26" s="5"/>
      <c r="AR26" s="6">
        <v>4.7934652069475101</v>
      </c>
      <c r="AS26" s="6">
        <v>0.78044091788651704</v>
      </c>
      <c r="AT26" s="6"/>
      <c r="AU26" s="5">
        <v>4.62239210584959</v>
      </c>
      <c r="AV26" s="5">
        <v>0.77049022674415901</v>
      </c>
      <c r="AW26" s="5"/>
      <c r="AX26" s="6">
        <v>4.1992812511646704</v>
      </c>
      <c r="AY26" s="6">
        <v>0.74189860738961999</v>
      </c>
      <c r="AZ26" s="4"/>
    </row>
    <row r="27" spans="2:52" x14ac:dyDescent="0.25">
      <c r="B27" s="5">
        <v>73.290681754099893</v>
      </c>
      <c r="C27" s="5">
        <v>7.1442031435740603</v>
      </c>
      <c r="D27" s="5"/>
      <c r="E27" s="6">
        <v>38.295022809888302</v>
      </c>
      <c r="F27" s="6">
        <v>4.1806733869494197</v>
      </c>
      <c r="G27" s="6"/>
      <c r="H27" s="5">
        <v>17.592599412371602</v>
      </c>
      <c r="I27" s="5">
        <v>2.29104900348994</v>
      </c>
      <c r="J27" s="5"/>
      <c r="K27" s="6">
        <v>5.6247164072960203</v>
      </c>
      <c r="L27" s="6">
        <v>0.95989886174272399</v>
      </c>
      <c r="M27" s="29"/>
      <c r="O27" s="5">
        <v>157.491792122156</v>
      </c>
      <c r="P27" s="5">
        <v>14.514140074457901</v>
      </c>
      <c r="Q27" s="5"/>
      <c r="R27" s="6">
        <v>8.0216212976691192</v>
      </c>
      <c r="S27" s="6">
        <v>0.94819842453320702</v>
      </c>
      <c r="T27" s="6"/>
      <c r="U27" s="5">
        <v>7.8031301233212496</v>
      </c>
      <c r="V27" s="5">
        <v>0.98052828629424604</v>
      </c>
      <c r="W27" s="5"/>
      <c r="X27" s="6">
        <v>7.65752977429218</v>
      </c>
      <c r="Y27" s="6">
        <v>0.99652077413521101</v>
      </c>
      <c r="AB27" s="30">
        <v>13.2496111916915</v>
      </c>
      <c r="AC27" s="5">
        <v>1.57146153421673</v>
      </c>
      <c r="AD27" s="5"/>
      <c r="AE27" s="6">
        <v>1.89142964942645</v>
      </c>
      <c r="AF27" s="6">
        <v>0.45806793222847902</v>
      </c>
      <c r="AG27" s="6"/>
      <c r="AH27" s="5">
        <v>1.9268909669221299</v>
      </c>
      <c r="AI27" s="5">
        <v>0.473754446095489</v>
      </c>
      <c r="AJ27" s="5"/>
      <c r="AK27" s="6">
        <v>1.9090180403210999</v>
      </c>
      <c r="AL27" s="6">
        <v>0.473754446095489</v>
      </c>
      <c r="AM27" s="6"/>
      <c r="AO27" s="5">
        <v>59.705630088686199</v>
      </c>
      <c r="AP27" s="5">
        <v>5.6586034268060601</v>
      </c>
      <c r="AQ27" s="5"/>
      <c r="AR27" s="6">
        <v>3.8324091847093902</v>
      </c>
      <c r="AS27" s="6">
        <v>0.83666835893369396</v>
      </c>
      <c r="AT27" s="6"/>
      <c r="AU27" s="5">
        <v>4.3195119947240102</v>
      </c>
      <c r="AV27" s="5">
        <v>0.78874489201662801</v>
      </c>
      <c r="AW27" s="5"/>
      <c r="AX27" s="6">
        <v>4.2361236162037104</v>
      </c>
      <c r="AY27" s="6">
        <v>0.77829603577231399</v>
      </c>
      <c r="AZ27" s="4"/>
    </row>
    <row r="28" spans="2:52" x14ac:dyDescent="0.25">
      <c r="B28" s="8"/>
      <c r="C28" s="8"/>
      <c r="D28" s="8"/>
    </row>
    <row r="29" spans="2:52" x14ac:dyDescent="0.25">
      <c r="B29" s="8"/>
      <c r="C29" s="8"/>
      <c r="D29" s="8"/>
    </row>
    <row r="30" spans="2:52" x14ac:dyDescent="0.25">
      <c r="B30" s="8"/>
      <c r="C30" s="8"/>
      <c r="D30" s="8"/>
    </row>
    <row r="31" spans="2:52" x14ac:dyDescent="0.25">
      <c r="B31" s="8"/>
      <c r="C31" s="8"/>
      <c r="D31" s="8"/>
    </row>
    <row r="32" spans="2:52" x14ac:dyDescent="0.25">
      <c r="B32" s="8"/>
      <c r="C32" s="8"/>
      <c r="D32" s="8"/>
    </row>
    <row r="33" spans="2:4" x14ac:dyDescent="0.25">
      <c r="B33" s="8"/>
      <c r="C33" s="8"/>
      <c r="D33" s="8"/>
    </row>
    <row r="34" spans="2:4" x14ac:dyDescent="0.25">
      <c r="B34" s="8"/>
      <c r="C34" s="8"/>
      <c r="D34" s="8"/>
    </row>
  </sheetData>
  <mergeCells count="40">
    <mergeCell ref="AB15:AL15"/>
    <mergeCell ref="AB16:AD16"/>
    <mergeCell ref="AE16:AG16"/>
    <mergeCell ref="AH16:AJ16"/>
    <mergeCell ref="AK16:AM16"/>
    <mergeCell ref="AO15:AY15"/>
    <mergeCell ref="AO16:AQ16"/>
    <mergeCell ref="AR16:AT16"/>
    <mergeCell ref="AU16:AW16"/>
    <mergeCell ref="AX16:AZ16"/>
    <mergeCell ref="O15:Y15"/>
    <mergeCell ref="O16:Q16"/>
    <mergeCell ref="R16:T16"/>
    <mergeCell ref="U16:W16"/>
    <mergeCell ref="X16:Z16"/>
    <mergeCell ref="B15:L15"/>
    <mergeCell ref="B16:D16"/>
    <mergeCell ref="E16:G16"/>
    <mergeCell ref="H16:J16"/>
    <mergeCell ref="K16:M16"/>
    <mergeCell ref="AO1:AY1"/>
    <mergeCell ref="AO2:AQ2"/>
    <mergeCell ref="AR2:AT2"/>
    <mergeCell ref="AU2:AW2"/>
    <mergeCell ref="AX2:AZ2"/>
    <mergeCell ref="AB1:AL1"/>
    <mergeCell ref="AB2:AD2"/>
    <mergeCell ref="AE2:AG2"/>
    <mergeCell ref="AH2:AJ2"/>
    <mergeCell ref="AK2:AM2"/>
    <mergeCell ref="O1:Y1"/>
    <mergeCell ref="O2:Q2"/>
    <mergeCell ref="R2:T2"/>
    <mergeCell ref="U2:W2"/>
    <mergeCell ref="X2:Z2"/>
    <mergeCell ref="B1:L1"/>
    <mergeCell ref="B2:D2"/>
    <mergeCell ref="E2:G2"/>
    <mergeCell ref="H2:J2"/>
    <mergeCell ref="K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Z35"/>
  <sheetViews>
    <sheetView zoomScale="85" zoomScaleNormal="85" workbookViewId="0">
      <selection activeCell="A2" sqref="A2:XFD35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2" customWidth="1"/>
    <col min="6" max="6" width="13.28515625" customWidth="1"/>
    <col min="7" max="7" width="10.7109375" bestFit="1" customWidth="1"/>
    <col min="8" max="8" width="12" bestFit="1" customWidth="1"/>
    <col min="9" max="9" width="8.42578125" bestFit="1" customWidth="1"/>
    <col min="10" max="10" width="11.42578125" bestFit="1" customWidth="1"/>
    <col min="11" max="11" width="11.85546875" bestFit="1" customWidth="1"/>
    <col min="12" max="12" width="14" bestFit="1" customWidth="1"/>
    <col min="13" max="13" width="17.85546875" style="8" bestFit="1" customWidth="1"/>
    <col min="14" max="14" width="16.140625" style="21" customWidth="1"/>
    <col min="15" max="15" width="12" bestFit="1" customWidth="1"/>
  </cols>
  <sheetData>
    <row r="1" spans="1:26" s="27" customFormat="1" ht="60.75" customHeight="1" x14ac:dyDescent="0.25">
      <c r="A1" s="50" t="s">
        <v>34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</row>
    <row r="2" spans="1:26" s="1" customFormat="1" x14ac:dyDescent="0.25">
      <c r="M2" s="13"/>
      <c r="N2" s="16"/>
    </row>
    <row r="3" spans="1:26" ht="45" x14ac:dyDescent="0.25">
      <c r="A3" s="3" t="s">
        <v>6</v>
      </c>
      <c r="B3" s="3" t="s">
        <v>11</v>
      </c>
      <c r="C3" s="3" t="s">
        <v>4</v>
      </c>
      <c r="D3" s="3" t="s">
        <v>2</v>
      </c>
      <c r="E3" s="3" t="s">
        <v>3</v>
      </c>
      <c r="F3" s="3" t="s">
        <v>33</v>
      </c>
      <c r="G3" s="3" t="s">
        <v>0</v>
      </c>
      <c r="H3" s="3" t="s">
        <v>1</v>
      </c>
      <c r="I3" s="3" t="s">
        <v>7</v>
      </c>
      <c r="J3" s="3" t="s">
        <v>8</v>
      </c>
      <c r="K3" s="3" t="s">
        <v>17</v>
      </c>
      <c r="L3" s="3" t="s">
        <v>18</v>
      </c>
      <c r="M3" s="14" t="s">
        <v>10</v>
      </c>
      <c r="N3" s="17" t="s">
        <v>23</v>
      </c>
      <c r="O3" s="3" t="s">
        <v>27</v>
      </c>
    </row>
    <row r="4" spans="1:26" x14ac:dyDescent="0.25">
      <c r="A4" s="52" t="s">
        <v>12</v>
      </c>
      <c r="B4" s="12">
        <v>1</v>
      </c>
      <c r="C4" s="55" t="s">
        <v>5</v>
      </c>
      <c r="D4" s="55">
        <v>66</v>
      </c>
      <c r="E4" s="55">
        <v>66</v>
      </c>
      <c r="F4" s="56"/>
      <c r="G4" s="55">
        <v>1</v>
      </c>
      <c r="H4" s="55">
        <v>1</v>
      </c>
      <c r="I4" s="55">
        <v>66</v>
      </c>
      <c r="J4" s="55">
        <v>66</v>
      </c>
      <c r="K4" s="6">
        <f>AVERAGE(DataExp1!B4:B13)</f>
        <v>23.838309041284862</v>
      </c>
      <c r="L4" s="6">
        <f>AVERAGE(DataExp1!C4:C13)</f>
        <v>3.2827532251076272</v>
      </c>
      <c r="M4" s="6">
        <v>280.77705301382201</v>
      </c>
      <c r="N4" s="18">
        <v>1.24324175218449E-3</v>
      </c>
      <c r="O4" s="15">
        <f>AVERAGE(DataExp1!D4:D13)</f>
        <v>1.6688517570495538</v>
      </c>
    </row>
    <row r="5" spans="1:26" x14ac:dyDescent="0.25">
      <c r="A5" s="53"/>
      <c r="B5" s="7">
        <v>3</v>
      </c>
      <c r="C5" s="54"/>
      <c r="D5" s="54"/>
      <c r="E5" s="54"/>
      <c r="F5" s="57"/>
      <c r="G5" s="54"/>
      <c r="H5" s="54"/>
      <c r="I5" s="54"/>
      <c r="J5" s="54"/>
      <c r="K5" s="6">
        <f>AVERAGE(DataExp1!E4:E13)</f>
        <v>11.070752653739017</v>
      </c>
      <c r="L5" s="6">
        <f>AVERAGE(DataExp1!F4:F13)</f>
        <v>1.6712838772969871</v>
      </c>
      <c r="M5" s="6">
        <v>391.23075904146799</v>
      </c>
      <c r="N5" s="18">
        <v>1.8368430572894799E-3</v>
      </c>
      <c r="O5" s="15">
        <f>AVERAGE(DataExp1!G4:G13)</f>
        <v>1.6848387241363478</v>
      </c>
    </row>
    <row r="6" spans="1:26" x14ac:dyDescent="0.25">
      <c r="A6" s="53"/>
      <c r="B6" s="7">
        <v>5</v>
      </c>
      <c r="C6" s="54"/>
      <c r="D6" s="54"/>
      <c r="E6" s="54"/>
      <c r="F6" s="57"/>
      <c r="G6" s="54"/>
      <c r="H6" s="54"/>
      <c r="I6" s="54"/>
      <c r="J6" s="54"/>
      <c r="K6" s="6">
        <f>AVERAGE(DataExp1!H4:H13)</f>
        <v>4.7480516396353174</v>
      </c>
      <c r="L6" s="6">
        <f>AVERAGE(DataExp1!I4:I13)</f>
        <v>0.82681097952909732</v>
      </c>
      <c r="M6" s="6">
        <v>417.59086506911302</v>
      </c>
      <c r="N6" s="18">
        <v>1.8680991323063701E-3</v>
      </c>
      <c r="O6" s="15">
        <f>AVERAGE(DataExp1!J4:J13)</f>
        <v>1.7160061359405478</v>
      </c>
    </row>
    <row r="7" spans="1:26" x14ac:dyDescent="0.25">
      <c r="A7" s="53"/>
      <c r="B7" s="7">
        <v>10</v>
      </c>
      <c r="C7" s="54"/>
      <c r="D7" s="54"/>
      <c r="E7" s="54"/>
      <c r="F7" s="57"/>
      <c r="G7" s="54"/>
      <c r="H7" s="54"/>
      <c r="I7" s="54"/>
      <c r="J7" s="54"/>
      <c r="K7" s="6">
        <f>AVERAGE(DataExp1!K4:K13)</f>
        <v>0.84932664663156276</v>
      </c>
      <c r="L7" s="6">
        <f>AVERAGE(DataExp1!L4:L13)</f>
        <v>0.24563346801399702</v>
      </c>
      <c r="M7" s="6">
        <v>427.43972841419099</v>
      </c>
      <c r="N7" s="18">
        <v>1.90857404909223E-3</v>
      </c>
      <c r="O7" s="15">
        <f>AVERAGE(DataExp1!M4:M13)</f>
        <v>1.740799522399898</v>
      </c>
    </row>
    <row r="8" spans="1:26" x14ac:dyDescent="0.25">
      <c r="A8" s="54" t="s">
        <v>13</v>
      </c>
      <c r="B8" s="4">
        <v>1</v>
      </c>
      <c r="C8" s="54"/>
      <c r="D8" s="54"/>
      <c r="E8" s="54"/>
      <c r="F8" s="57"/>
      <c r="G8" s="54"/>
      <c r="H8" s="54"/>
      <c r="I8" s="54"/>
      <c r="J8" s="54"/>
      <c r="K8" s="5">
        <f>AVERAGE(DataExp1!O4:O13)</f>
        <v>49.821904185231844</v>
      </c>
      <c r="L8" s="5">
        <f>AVERAGE(DataExp1!P4:P13)</f>
        <v>6.6901005257882433</v>
      </c>
      <c r="M8" s="5">
        <v>38.8018530138228</v>
      </c>
      <c r="N8" s="19">
        <v>1.8341564911519399E-2</v>
      </c>
      <c r="O8" s="5">
        <f>AVERAGE(DataExp1!Q4:Q13)</f>
        <v>1.6223374366760202</v>
      </c>
    </row>
    <row r="9" spans="1:26" x14ac:dyDescent="0.25">
      <c r="A9" s="54"/>
      <c r="B9" s="4">
        <v>3</v>
      </c>
      <c r="C9" s="54"/>
      <c r="D9" s="54"/>
      <c r="E9" s="54"/>
      <c r="F9" s="57"/>
      <c r="G9" s="54"/>
      <c r="H9" s="54"/>
      <c r="I9" s="54"/>
      <c r="J9" s="54"/>
      <c r="K9" s="5">
        <f>AVERAGE(DataExp1!R4:R13)</f>
        <v>2.2585080679270888</v>
      </c>
      <c r="L9" s="5">
        <f>AVERAGE(DataExp1!S4:S13)</f>
        <v>0.46312458447019578</v>
      </c>
      <c r="M9" s="5">
        <v>73.281259041468303</v>
      </c>
      <c r="N9" s="19">
        <v>3.8957965924184199E-2</v>
      </c>
      <c r="O9" s="5">
        <f>AVERAGE(DataExp1!T4:T13)</f>
        <v>1.6586509227752639</v>
      </c>
    </row>
    <row r="10" spans="1:26" x14ac:dyDescent="0.25">
      <c r="A10" s="54"/>
      <c r="B10" s="4">
        <v>5</v>
      </c>
      <c r="C10" s="54"/>
      <c r="D10" s="54"/>
      <c r="E10" s="54"/>
      <c r="F10" s="57"/>
      <c r="G10" s="54"/>
      <c r="H10" s="54"/>
      <c r="I10" s="54"/>
      <c r="J10" s="54"/>
      <c r="K10" s="5">
        <f>AVERAGE(DataExp1!U4:U13)</f>
        <v>2.4443213833989064</v>
      </c>
      <c r="L10" s="5">
        <f>AVERAGE(DataExp1!V4:V13)</f>
        <v>0.67972664412295081</v>
      </c>
      <c r="M10" s="5">
        <v>77.092715069113893</v>
      </c>
      <c r="N10" s="19">
        <v>4.1758142847234302E-2</v>
      </c>
      <c r="O10" s="5">
        <f>AVERAGE(DataExp1!W4:W13)</f>
        <v>1.7100264072418159</v>
      </c>
    </row>
    <row r="11" spans="1:26" x14ac:dyDescent="0.25">
      <c r="A11" s="54"/>
      <c r="B11" s="4">
        <v>10</v>
      </c>
      <c r="C11" s="54"/>
      <c r="D11" s="54"/>
      <c r="E11" s="54"/>
      <c r="F11" s="57"/>
      <c r="G11" s="54"/>
      <c r="H11" s="54"/>
      <c r="I11" s="54"/>
      <c r="J11" s="54"/>
      <c r="K11" s="5">
        <f>AVERAGE(DataExp1!X4:X13)</f>
        <v>2.0470536852897636</v>
      </c>
      <c r="L11" s="5">
        <f>AVERAGE(DataExp1!Y4:Y13)</f>
        <v>0.42174105651815957</v>
      </c>
      <c r="M11" s="5">
        <v>76.300224110581993</v>
      </c>
      <c r="N11" s="19">
        <v>4.0673431385843499E-2</v>
      </c>
      <c r="O11" s="5">
        <f>AVERAGE(DataExp1!Z4:Z13)</f>
        <v>1.7285686492919858</v>
      </c>
    </row>
    <row r="12" spans="1:26" x14ac:dyDescent="0.25">
      <c r="A12" s="53" t="s">
        <v>14</v>
      </c>
      <c r="B12" s="7">
        <v>1</v>
      </c>
      <c r="C12" s="54"/>
      <c r="D12" s="54"/>
      <c r="E12" s="54"/>
      <c r="F12" s="57"/>
      <c r="G12" s="54"/>
      <c r="H12" s="54"/>
      <c r="I12" s="54"/>
      <c r="J12" s="54"/>
      <c r="K12" s="23">
        <f>AVERAGE(DataExp1!AB4:AB13)</f>
        <v>2.0194039548285878</v>
      </c>
      <c r="L12" s="23">
        <f>AVERAGE(DataExp1!AC4:AC13)</f>
        <v>0.37754673426285007</v>
      </c>
      <c r="M12" s="23">
        <v>4.4845012962678503E-2</v>
      </c>
      <c r="N12" s="24">
        <v>1.32241661098872E-4</v>
      </c>
      <c r="O12" s="23">
        <f>AVERAGE(DataExp1!AD4:AD13)</f>
        <v>0.14992039203643773</v>
      </c>
    </row>
    <row r="13" spans="1:26" x14ac:dyDescent="0.25">
      <c r="A13" s="53"/>
      <c r="B13" s="7">
        <v>3</v>
      </c>
      <c r="C13" s="54"/>
      <c r="D13" s="54"/>
      <c r="E13" s="54"/>
      <c r="F13" s="57"/>
      <c r="G13" s="54"/>
      <c r="H13" s="54"/>
      <c r="I13" s="54"/>
      <c r="J13" s="54"/>
      <c r="K13" s="23">
        <f>AVERAGE(DataExp1!AE4:AE13)</f>
        <v>3.0323916470832399</v>
      </c>
      <c r="L13" s="23">
        <f>AVERAGE(DataExp1!AF4:AF13)</f>
        <v>0.65287517616761293</v>
      </c>
      <c r="M13" s="23">
        <v>4.4845012962678503E-2</v>
      </c>
      <c r="N13" s="24">
        <v>1.3223489288371801E-4</v>
      </c>
      <c r="O13" s="23">
        <f>AVERAGE(DataExp1!AG4:AG13)</f>
        <v>0.15916876792907658</v>
      </c>
    </row>
    <row r="14" spans="1:26" x14ac:dyDescent="0.25">
      <c r="A14" s="53"/>
      <c r="B14" s="7">
        <v>5</v>
      </c>
      <c r="C14" s="54"/>
      <c r="D14" s="54"/>
      <c r="E14" s="54"/>
      <c r="F14" s="57"/>
      <c r="G14" s="54"/>
      <c r="H14" s="54"/>
      <c r="I14" s="54"/>
      <c r="J14" s="54"/>
      <c r="K14" s="23">
        <f>AVERAGE(DataExp1!AH4:AH13)</f>
        <v>3.0970657292831891</v>
      </c>
      <c r="L14" s="23">
        <f>AVERAGE(DataExp1!AI4:AI13)</f>
        <v>0.65291309034907874</v>
      </c>
      <c r="M14" s="23">
        <v>4.78425388880356E-2</v>
      </c>
      <c r="N14" s="24">
        <v>1.33917051049755E-4</v>
      </c>
      <c r="O14" s="23">
        <f>AVERAGE(DataExp1!AJ4:AJ13)</f>
        <v>0.18022336959838842</v>
      </c>
    </row>
    <row r="15" spans="1:26" x14ac:dyDescent="0.25">
      <c r="A15" s="53"/>
      <c r="B15" s="7">
        <v>10</v>
      </c>
      <c r="C15" s="54"/>
      <c r="D15" s="54"/>
      <c r="E15" s="54"/>
      <c r="F15" s="57"/>
      <c r="G15" s="54"/>
      <c r="H15" s="54"/>
      <c r="I15" s="54"/>
      <c r="J15" s="54"/>
      <c r="K15" s="23">
        <f>AVERAGE(DataExp1!AK4:AK13)</f>
        <v>3.0304601968108664</v>
      </c>
      <c r="L15" s="23">
        <f>AVERAGE(DataExp1!AL4:AL13)</f>
        <v>0.65218430526407922</v>
      </c>
      <c r="M15" s="23">
        <v>4.7875038888035598E-2</v>
      </c>
      <c r="N15" s="24">
        <v>1.33921911090507E-4</v>
      </c>
      <c r="O15" s="23">
        <f>AVERAGE(DataExp1!AM4:AM13)</f>
        <v>0.1679047107696528</v>
      </c>
    </row>
    <row r="16" spans="1:26" x14ac:dyDescent="0.25">
      <c r="A16" s="54" t="s">
        <v>15</v>
      </c>
      <c r="B16" s="4">
        <v>1</v>
      </c>
      <c r="C16" s="54"/>
      <c r="D16" s="54"/>
      <c r="E16" s="54"/>
      <c r="F16" s="57"/>
      <c r="G16" s="54"/>
      <c r="H16" s="54"/>
      <c r="I16" s="54"/>
      <c r="J16" s="54"/>
      <c r="K16" s="5">
        <f>AVERAGE(DataExp1!AO4:AO13)</f>
        <v>34.552311810658352</v>
      </c>
      <c r="L16" s="5">
        <f>AVERAGE(DataExp1!AP4:AP13)</f>
        <v>4.575032042937762</v>
      </c>
      <c r="M16" s="5">
        <v>6.2164238822761397E-2</v>
      </c>
      <c r="N16" s="19">
        <v>1.8093373899484099E-5</v>
      </c>
      <c r="O16" s="5">
        <f>AVERAGE(DataExp1!AQ4:AQ13)</f>
        <v>1.6018030881881669</v>
      </c>
    </row>
    <row r="17" spans="1:15" x14ac:dyDescent="0.25">
      <c r="A17" s="54"/>
      <c r="B17" s="4">
        <v>3</v>
      </c>
      <c r="C17" s="54"/>
      <c r="D17" s="54"/>
      <c r="E17" s="54"/>
      <c r="F17" s="57"/>
      <c r="G17" s="54"/>
      <c r="H17" s="54"/>
      <c r="I17" s="54"/>
      <c r="J17" s="54"/>
      <c r="K17" s="5">
        <f>AVERAGE(DataExp1!AR4:AR14)</f>
        <v>1.8560190453181431</v>
      </c>
      <c r="L17" s="5">
        <f>AVERAGE(DataExp1!AS5:AS14)</f>
        <v>0.34386357258632122</v>
      </c>
      <c r="M17" s="5">
        <v>8.8175866468285097E-2</v>
      </c>
      <c r="N17" s="19">
        <v>2.79669169855113E-5</v>
      </c>
      <c r="O17" s="5">
        <f>AVERAGE(DataExp1!AT4:AT13)</f>
        <v>1.6889492511749222</v>
      </c>
    </row>
    <row r="18" spans="1:15" x14ac:dyDescent="0.25">
      <c r="A18" s="54"/>
      <c r="B18" s="4">
        <v>5</v>
      </c>
      <c r="C18" s="54"/>
      <c r="D18" s="54"/>
      <c r="E18" s="54"/>
      <c r="F18" s="57"/>
      <c r="G18" s="54"/>
      <c r="H18" s="54"/>
      <c r="I18" s="54"/>
      <c r="J18" s="54"/>
      <c r="K18" s="5">
        <f>AVERAGE(DataExp1!AU4:AU13)</f>
        <v>1.9127433590347436</v>
      </c>
      <c r="L18" s="5">
        <f>AVERAGE(DataExp1!AV5:AV6)</f>
        <v>0.35602585387596053</v>
      </c>
      <c r="M18" s="5">
        <v>8.8376119113808799E-2</v>
      </c>
      <c r="N18" s="19">
        <v>2.8023187480955202E-5</v>
      </c>
      <c r="O18" s="5">
        <f>AVERAGE(DataExp1!AW4:AW13)</f>
        <v>1.7003351620265386</v>
      </c>
    </row>
    <row r="19" spans="1:15" x14ac:dyDescent="0.25">
      <c r="A19" s="54"/>
      <c r="B19" s="4">
        <v>10</v>
      </c>
      <c r="C19" s="54"/>
      <c r="D19" s="54"/>
      <c r="E19" s="54"/>
      <c r="F19" s="58"/>
      <c r="G19" s="54"/>
      <c r="H19" s="54"/>
      <c r="I19" s="54"/>
      <c r="J19" s="54"/>
      <c r="K19" s="5">
        <f>AVERAGE(DataExp1!AX4:AX13)</f>
        <v>1.9259347567178799</v>
      </c>
      <c r="L19" s="5">
        <f>AVERAGE(DataExp1!AY4:AY13)</f>
        <v>0.35326486945372448</v>
      </c>
      <c r="M19" s="5">
        <v>8.81585941138084E-2</v>
      </c>
      <c r="N19" s="19">
        <v>2.7971865110220399E-5</v>
      </c>
      <c r="O19" s="5">
        <f>AVERAGE(DataExp1!AZ4:AZ13)</f>
        <v>1.6923342704772899</v>
      </c>
    </row>
    <row r="20" spans="1:15" x14ac:dyDescent="0.25">
      <c r="A20" s="60" t="s">
        <v>12</v>
      </c>
      <c r="B20" s="4">
        <v>1</v>
      </c>
      <c r="C20" s="54" t="s">
        <v>24</v>
      </c>
      <c r="D20" s="54">
        <v>128</v>
      </c>
      <c r="E20" s="54">
        <v>128</v>
      </c>
      <c r="F20" s="56"/>
      <c r="G20" s="54">
        <v>1</v>
      </c>
      <c r="H20" s="54">
        <v>1</v>
      </c>
      <c r="I20" s="54">
        <v>128</v>
      </c>
      <c r="J20" s="54">
        <v>128</v>
      </c>
      <c r="K20" s="4">
        <f>AVERAGE(DataExp1!B18:B27)</f>
        <v>65.766764930924992</v>
      </c>
      <c r="L20" s="4">
        <f>AVERAGE(DataExp1!C18:C27)</f>
        <v>6.4421864526712369</v>
      </c>
      <c r="M20" s="5">
        <v>1035.7896129462799</v>
      </c>
      <c r="N20" s="19">
        <v>5.95739397649482E-3</v>
      </c>
      <c r="O20" s="5">
        <v>12.759822845458901</v>
      </c>
    </row>
    <row r="21" spans="1:15" x14ac:dyDescent="0.25">
      <c r="A21" s="60"/>
      <c r="B21" s="4">
        <v>3</v>
      </c>
      <c r="C21" s="54"/>
      <c r="D21" s="54"/>
      <c r="E21" s="54"/>
      <c r="F21" s="57"/>
      <c r="G21" s="54"/>
      <c r="H21" s="54"/>
      <c r="I21" s="54"/>
      <c r="J21" s="54"/>
      <c r="K21" s="4">
        <f>AVERAGE(DataExp1!E18:E27)</f>
        <v>38.626208042487967</v>
      </c>
      <c r="L21" s="4">
        <f>AVERAGE(DataExp1!F18:F27)</f>
        <v>4.0285688713895276</v>
      </c>
      <c r="M21" s="5">
        <v>1685.75088883886</v>
      </c>
      <c r="N21" s="19">
        <v>1.1219430173259401E-2</v>
      </c>
      <c r="O21" s="5">
        <v>12.8247382640838</v>
      </c>
    </row>
    <row r="22" spans="1:15" x14ac:dyDescent="0.25">
      <c r="A22" s="60"/>
      <c r="B22" s="4">
        <v>5</v>
      </c>
      <c r="C22" s="54"/>
      <c r="D22" s="54"/>
      <c r="E22" s="54"/>
      <c r="F22" s="57"/>
      <c r="G22" s="54"/>
      <c r="H22" s="54"/>
      <c r="I22" s="54"/>
      <c r="J22" s="54"/>
      <c r="K22" s="4">
        <f>AVERAGE(DataExp1!H18:H27)</f>
        <v>19.080341123339618</v>
      </c>
      <c r="L22" s="4">
        <f>AVERAGE(DataExp1!I18:I27)</f>
        <v>2.3385643979886401</v>
      </c>
      <c r="M22" s="5">
        <v>1984.11291473147</v>
      </c>
      <c r="N22" s="19">
        <v>1.31972764989438E-2</v>
      </c>
      <c r="O22" s="5">
        <v>12.9234986305236</v>
      </c>
    </row>
    <row r="23" spans="1:15" x14ac:dyDescent="0.25">
      <c r="A23" s="60"/>
      <c r="B23" s="4">
        <v>10</v>
      </c>
      <c r="C23" s="54"/>
      <c r="D23" s="54"/>
      <c r="E23" s="54"/>
      <c r="F23" s="57"/>
      <c r="G23" s="54"/>
      <c r="H23" s="54"/>
      <c r="I23" s="54"/>
      <c r="J23" s="54"/>
      <c r="K23" s="4">
        <f>AVERAGE(DataExp1!K18:K27)</f>
        <v>4.4322830974230261</v>
      </c>
      <c r="L23" s="4">
        <f>AVERAGE(DataExp1!L18:L27)</f>
        <v>0.72280862455750228</v>
      </c>
      <c r="M23" s="5">
        <v>2183.88837946289</v>
      </c>
      <c r="N23" s="19">
        <v>1.4378549136786E-2</v>
      </c>
      <c r="O23" s="5">
        <v>14.266155481338499</v>
      </c>
    </row>
    <row r="24" spans="1:15" x14ac:dyDescent="0.25">
      <c r="A24" s="59" t="s">
        <v>13</v>
      </c>
      <c r="B24" s="10">
        <v>1</v>
      </c>
      <c r="C24" s="54"/>
      <c r="D24" s="54"/>
      <c r="E24" s="54"/>
      <c r="F24" s="57"/>
      <c r="G24" s="54"/>
      <c r="H24" s="54"/>
      <c r="I24" s="54"/>
      <c r="J24" s="54"/>
      <c r="K24" s="10">
        <f>AVERAGE(DataExp1!O18:O27)</f>
        <v>157.51141235842792</v>
      </c>
      <c r="L24" s="10">
        <f>AVERAGE(DataExp1!P18:P27)</f>
        <v>14.53758931210613</v>
      </c>
      <c r="M24" s="15">
        <v>140.34726294628899</v>
      </c>
      <c r="N24" s="20">
        <v>8.6437071411442801E-2</v>
      </c>
      <c r="O24" s="15">
        <v>12.795346260070801</v>
      </c>
    </row>
    <row r="25" spans="1:15" x14ac:dyDescent="0.25">
      <c r="A25" s="59"/>
      <c r="B25" s="10">
        <v>3</v>
      </c>
      <c r="C25" s="54"/>
      <c r="D25" s="54"/>
      <c r="E25" s="54"/>
      <c r="F25" s="57"/>
      <c r="G25" s="54"/>
      <c r="H25" s="54"/>
      <c r="I25" s="54"/>
      <c r="J25" s="54"/>
      <c r="K25" s="10">
        <f>AVERAGE(DataExp1!R18:R27)</f>
        <v>5.370568162007002</v>
      </c>
      <c r="L25" s="10">
        <f>AVERAGE(DataExp1!S18:S27)</f>
        <v>0.75080168785316326</v>
      </c>
      <c r="M25" s="15">
        <v>336.02303883887203</v>
      </c>
      <c r="N25" s="20">
        <v>0.307117723102377</v>
      </c>
      <c r="O25" s="15">
        <v>12.8078730106353</v>
      </c>
    </row>
    <row r="26" spans="1:15" x14ac:dyDescent="0.25">
      <c r="A26" s="59"/>
      <c r="B26" s="10">
        <v>5</v>
      </c>
      <c r="C26" s="54"/>
      <c r="D26" s="54"/>
      <c r="E26" s="54"/>
      <c r="F26" s="57"/>
      <c r="G26" s="54"/>
      <c r="H26" s="54"/>
      <c r="I26" s="54"/>
      <c r="J26" s="54"/>
      <c r="K26" s="10">
        <f>AVERAGE(DataExp1!U18:U27)</f>
        <v>6.130019567236074</v>
      </c>
      <c r="L26" s="10">
        <f>AVERAGE(DataExp1!V18:V27)</f>
        <v>0.89446390885782068</v>
      </c>
      <c r="M26" s="15">
        <v>351.22411473145002</v>
      </c>
      <c r="N26" s="20">
        <v>0.31561186164217703</v>
      </c>
      <c r="O26" s="15">
        <v>26.1628239154815</v>
      </c>
    </row>
    <row r="27" spans="1:15" x14ac:dyDescent="0.25">
      <c r="A27" s="59"/>
      <c r="B27" s="10">
        <v>10</v>
      </c>
      <c r="C27" s="54"/>
      <c r="D27" s="54"/>
      <c r="E27" s="54"/>
      <c r="F27" s="57"/>
      <c r="G27" s="54"/>
      <c r="H27" s="54"/>
      <c r="I27" s="54"/>
      <c r="J27" s="54"/>
      <c r="K27" s="10">
        <f>AVERAGE(DataExp1!X18:X27)</f>
        <v>6.2926813963615427</v>
      </c>
      <c r="L27" s="10">
        <f>AVERAGE(DataExp1!Y18:Y27)</f>
        <v>0.87768383162899821</v>
      </c>
      <c r="M27" s="15">
        <v>357.21115357032102</v>
      </c>
      <c r="N27" s="20">
        <v>0.31739714978690298</v>
      </c>
      <c r="O27" s="15">
        <v>26.592686176299999</v>
      </c>
    </row>
    <row r="28" spans="1:15" x14ac:dyDescent="0.25">
      <c r="A28" s="60" t="s">
        <v>14</v>
      </c>
      <c r="B28" s="4">
        <v>1</v>
      </c>
      <c r="C28" s="54"/>
      <c r="D28" s="54"/>
      <c r="E28" s="54"/>
      <c r="F28" s="57"/>
      <c r="G28" s="54"/>
      <c r="H28" s="54"/>
      <c r="I28" s="54"/>
      <c r="J28" s="54"/>
      <c r="K28" s="25">
        <f>AVERAGE(DataExp1!AB18:AB27)</f>
        <v>13.2679396369752</v>
      </c>
      <c r="L28" s="25">
        <f>AVERAGE(DataExp1!AC18:AC27)</f>
        <v>1.5714615342167302</v>
      </c>
      <c r="M28" s="25">
        <v>8.3970028801535798E-2</v>
      </c>
      <c r="N28" s="26">
        <v>3.6284487521842497E-5</v>
      </c>
      <c r="O28" s="25">
        <v>0.30750107765197698</v>
      </c>
    </row>
    <row r="29" spans="1:15" x14ac:dyDescent="0.25">
      <c r="A29" s="60"/>
      <c r="B29" s="4">
        <v>3</v>
      </c>
      <c r="C29" s="54"/>
      <c r="D29" s="54"/>
      <c r="E29" s="54"/>
      <c r="F29" s="57"/>
      <c r="G29" s="54"/>
      <c r="H29" s="54"/>
      <c r="I29" s="54"/>
      <c r="J29" s="54"/>
      <c r="K29" s="25">
        <f>AVERAGE(DataExp1!AE18:AE27)</f>
        <v>1.8847515193214188</v>
      </c>
      <c r="L29" s="25">
        <f>AVERAGE(DataExp1!AF18:AF27)</f>
        <v>0.44815003866496461</v>
      </c>
      <c r="M29" s="25">
        <v>9.5270057603071695E-2</v>
      </c>
      <c r="N29" s="26">
        <v>4.9660843797880298E-5</v>
      </c>
      <c r="O29" s="25">
        <v>0.36651349067687899</v>
      </c>
    </row>
    <row r="30" spans="1:15" x14ac:dyDescent="0.25">
      <c r="A30" s="60"/>
      <c r="B30" s="4">
        <v>5</v>
      </c>
      <c r="C30" s="54"/>
      <c r="D30" s="54"/>
      <c r="E30" s="54"/>
      <c r="F30" s="57"/>
      <c r="G30" s="54"/>
      <c r="H30" s="54"/>
      <c r="I30" s="54"/>
      <c r="J30" s="54"/>
      <c r="K30" s="25">
        <f>AVERAGE(DataExp1!AH18:AH27)</f>
        <v>1.9167287224860321</v>
      </c>
      <c r="L30" s="25">
        <f>AVERAGE(DataExp1!AI18:AI27)</f>
        <v>0.473754446095489</v>
      </c>
      <c r="M30" s="25">
        <v>9.6327586404607604E-2</v>
      </c>
      <c r="N30" s="26">
        <v>4.9897249721340198E-5</v>
      </c>
      <c r="O30" s="25">
        <v>0.397212743759155</v>
      </c>
    </row>
    <row r="31" spans="1:15" x14ac:dyDescent="0.25">
      <c r="A31" s="60"/>
      <c r="B31" s="11">
        <v>10</v>
      </c>
      <c r="C31" s="54"/>
      <c r="D31" s="54"/>
      <c r="E31" s="54"/>
      <c r="F31" s="57"/>
      <c r="G31" s="54"/>
      <c r="H31" s="54"/>
      <c r="I31" s="54"/>
      <c r="J31" s="54"/>
      <c r="K31" s="25">
        <f>AVERAGE(DataExp1!AK18:AK27)</f>
        <v>1.9152230126798291</v>
      </c>
      <c r="L31" s="25">
        <f>AVERAGE(DataExp1!AL18:AL27)</f>
        <v>0.473754446095489</v>
      </c>
      <c r="M31" s="25">
        <v>9.6205115206143499E-2</v>
      </c>
      <c r="N31" s="26">
        <v>4.9853940035316602E-5</v>
      </c>
      <c r="O31" s="25">
        <v>0.36162972450256298</v>
      </c>
    </row>
    <row r="32" spans="1:15" x14ac:dyDescent="0.25">
      <c r="A32" s="59" t="s">
        <v>15</v>
      </c>
      <c r="B32" s="10">
        <v>1</v>
      </c>
      <c r="C32" s="54"/>
      <c r="D32" s="54"/>
      <c r="E32" s="54"/>
      <c r="F32" s="57"/>
      <c r="G32" s="54"/>
      <c r="H32" s="54"/>
      <c r="I32" s="54"/>
      <c r="J32" s="54"/>
      <c r="K32" s="15">
        <f>AVERAGE(DataExp1!AO18:AO27)</f>
        <v>59.79535904859479</v>
      </c>
      <c r="L32" s="15">
        <f>AVERAGE(DataExp1!AP18:AP27)</f>
        <v>5.6632343066267472</v>
      </c>
      <c r="M32" s="15">
        <v>0.22719339629037999</v>
      </c>
      <c r="N32" s="20">
        <v>9.04054493084061E-5</v>
      </c>
      <c r="O32" s="15">
        <v>12.858536243438699</v>
      </c>
    </row>
    <row r="33" spans="1:15" x14ac:dyDescent="0.25">
      <c r="A33" s="59"/>
      <c r="B33" s="10">
        <v>3</v>
      </c>
      <c r="C33" s="54"/>
      <c r="D33" s="54"/>
      <c r="E33" s="54"/>
      <c r="F33" s="57"/>
      <c r="G33" s="54"/>
      <c r="H33" s="54"/>
      <c r="I33" s="54"/>
      <c r="J33" s="54"/>
      <c r="K33" s="15">
        <f>AVERAGE(DataExp1!AR18:AR27)</f>
        <v>4.1994209587286191</v>
      </c>
      <c r="L33" s="15">
        <f>AVERAGE(DataExp1!AS18:AS27)</f>
        <v>0.76532657737815013</v>
      </c>
      <c r="M33" s="15">
        <v>0.334194763871137</v>
      </c>
      <c r="N33" s="20">
        <v>1.6040279311206501E-4</v>
      </c>
      <c r="O33" s="15">
        <v>12.8858025074005</v>
      </c>
    </row>
    <row r="34" spans="1:15" x14ac:dyDescent="0.25">
      <c r="A34" s="59"/>
      <c r="B34" s="10">
        <v>5</v>
      </c>
      <c r="C34" s="54"/>
      <c r="D34" s="54"/>
      <c r="E34" s="54"/>
      <c r="F34" s="57"/>
      <c r="G34" s="54"/>
      <c r="H34" s="54"/>
      <c r="I34" s="54"/>
      <c r="J34" s="54"/>
      <c r="K34" s="15">
        <f>AVERAGE(DataExp1!AU18:AU27)</f>
        <v>4.4246201292478027</v>
      </c>
      <c r="L34" s="15">
        <f>AVERAGE(DataExp1!AV18:AV27)</f>
        <v>0.76976707295684066</v>
      </c>
      <c r="M34" s="15">
        <v>0.33717530645189397</v>
      </c>
      <c r="N34" s="20">
        <v>1.6153492724404301E-4</v>
      </c>
      <c r="O34" s="15">
        <v>13.6702349185943</v>
      </c>
    </row>
    <row r="35" spans="1:15" x14ac:dyDescent="0.25">
      <c r="A35" s="59"/>
      <c r="B35" s="10">
        <v>10</v>
      </c>
      <c r="C35" s="54"/>
      <c r="D35" s="54"/>
      <c r="E35" s="54"/>
      <c r="F35" s="58"/>
      <c r="G35" s="54"/>
      <c r="H35" s="54"/>
      <c r="I35" s="54"/>
      <c r="J35" s="54"/>
      <c r="K35" s="15">
        <f>AVERAGE(DataExp1!AX18:AX27)</f>
        <v>4.1938757256751718</v>
      </c>
      <c r="L35" s="15">
        <f>AVERAGE(DataExp1!AY18:AY27)</f>
        <v>0.76280764413276991</v>
      </c>
      <c r="M35" s="15">
        <v>0.33856701443077702</v>
      </c>
      <c r="N35" s="20">
        <v>1.6191006940398199E-4</v>
      </c>
      <c r="O35" s="15">
        <v>35.664546728134098</v>
      </c>
    </row>
  </sheetData>
  <mergeCells count="25">
    <mergeCell ref="A24:A27"/>
    <mergeCell ref="A28:A31"/>
    <mergeCell ref="A32:A35"/>
    <mergeCell ref="I4:I19"/>
    <mergeCell ref="J4:J19"/>
    <mergeCell ref="A20:A23"/>
    <mergeCell ref="C20:C35"/>
    <mergeCell ref="D20:D35"/>
    <mergeCell ref="E20:E35"/>
    <mergeCell ref="G20:G35"/>
    <mergeCell ref="H20:H35"/>
    <mergeCell ref="I20:I35"/>
    <mergeCell ref="J20:J35"/>
    <mergeCell ref="F20:F35"/>
    <mergeCell ref="A1:Z1"/>
    <mergeCell ref="A4:A7"/>
    <mergeCell ref="A8:A11"/>
    <mergeCell ref="A12:A15"/>
    <mergeCell ref="A16:A19"/>
    <mergeCell ref="C4:C19"/>
    <mergeCell ref="D4:D19"/>
    <mergeCell ref="E4:E19"/>
    <mergeCell ref="G4:G19"/>
    <mergeCell ref="H4:H19"/>
    <mergeCell ref="F4:F19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AZ34"/>
  <sheetViews>
    <sheetView tabSelected="1" zoomScaleNormal="100" workbookViewId="0">
      <selection activeCell="O4" sqref="O4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5" max="15" width="9.42578125" bestFit="1" customWidth="1"/>
    <col min="17" max="17" width="8.140625" bestFit="1" customWidth="1"/>
  </cols>
  <sheetData>
    <row r="1" spans="2:52" x14ac:dyDescent="0.25">
      <c r="B1" s="41" t="s">
        <v>25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22"/>
      <c r="O1" s="49" t="s">
        <v>28</v>
      </c>
      <c r="P1" s="49"/>
      <c r="Q1" s="49"/>
      <c r="R1" s="49"/>
      <c r="S1" s="49"/>
      <c r="T1" s="49"/>
      <c r="U1" s="49"/>
      <c r="V1" s="49"/>
      <c r="W1" s="49"/>
      <c r="X1" s="49"/>
      <c r="Y1" s="49"/>
      <c r="AB1" s="49" t="s">
        <v>32</v>
      </c>
      <c r="AC1" s="49"/>
      <c r="AD1" s="49"/>
      <c r="AE1" s="49"/>
      <c r="AF1" s="49"/>
      <c r="AG1" s="49"/>
      <c r="AH1" s="49"/>
      <c r="AI1" s="49"/>
      <c r="AJ1" s="49"/>
      <c r="AK1" s="41"/>
      <c r="AL1" s="41"/>
      <c r="AM1" s="22"/>
      <c r="AO1" s="49" t="s">
        <v>15</v>
      </c>
      <c r="AP1" s="49"/>
      <c r="AQ1" s="49"/>
      <c r="AR1" s="49"/>
      <c r="AS1" s="49"/>
      <c r="AT1" s="49"/>
      <c r="AU1" s="49"/>
      <c r="AV1" s="49"/>
      <c r="AW1" s="49"/>
      <c r="AX1" s="41"/>
      <c r="AY1" s="41"/>
    </row>
    <row r="2" spans="2:52" x14ac:dyDescent="0.25">
      <c r="B2" s="42" t="s">
        <v>19</v>
      </c>
      <c r="C2" s="43"/>
      <c r="D2" s="44"/>
      <c r="E2" s="42" t="s">
        <v>21</v>
      </c>
      <c r="F2" s="43"/>
      <c r="G2" s="44"/>
      <c r="H2" s="45" t="s">
        <v>22</v>
      </c>
      <c r="I2" s="46"/>
      <c r="J2" s="47"/>
      <c r="K2" s="48" t="s">
        <v>16</v>
      </c>
      <c r="L2" s="48"/>
      <c r="M2" s="48"/>
      <c r="O2" s="42" t="s">
        <v>19</v>
      </c>
      <c r="P2" s="43"/>
      <c r="Q2" s="44"/>
      <c r="R2" s="42" t="s">
        <v>21</v>
      </c>
      <c r="S2" s="43"/>
      <c r="T2" s="44"/>
      <c r="U2" s="45" t="s">
        <v>22</v>
      </c>
      <c r="V2" s="46"/>
      <c r="W2" s="47"/>
      <c r="X2" s="48" t="s">
        <v>16</v>
      </c>
      <c r="Y2" s="48"/>
      <c r="Z2" s="48"/>
      <c r="AA2" s="22"/>
      <c r="AB2" s="42" t="s">
        <v>19</v>
      </c>
      <c r="AC2" s="43"/>
      <c r="AD2" s="44"/>
      <c r="AE2" s="42" t="s">
        <v>21</v>
      </c>
      <c r="AF2" s="43"/>
      <c r="AG2" s="44"/>
      <c r="AH2" s="45" t="s">
        <v>22</v>
      </c>
      <c r="AI2" s="46"/>
      <c r="AJ2" s="47"/>
      <c r="AK2" s="48" t="s">
        <v>16</v>
      </c>
      <c r="AL2" s="48"/>
      <c r="AM2" s="48"/>
      <c r="AO2" s="42" t="s">
        <v>19</v>
      </c>
      <c r="AP2" s="43"/>
      <c r="AQ2" s="44"/>
      <c r="AR2" s="42" t="s">
        <v>21</v>
      </c>
      <c r="AS2" s="43"/>
      <c r="AT2" s="44"/>
      <c r="AU2" s="45" t="s">
        <v>22</v>
      </c>
      <c r="AV2" s="46"/>
      <c r="AW2" s="47"/>
      <c r="AX2" s="48" t="s">
        <v>16</v>
      </c>
      <c r="AY2" s="48"/>
      <c r="AZ2" s="48"/>
    </row>
    <row r="3" spans="2:52" ht="45" x14ac:dyDescent="0.25">
      <c r="B3" s="3" t="s">
        <v>20</v>
      </c>
      <c r="C3" s="3" t="s">
        <v>9</v>
      </c>
      <c r="D3" s="28" t="s">
        <v>35</v>
      </c>
      <c r="E3" s="3" t="s">
        <v>20</v>
      </c>
      <c r="F3" s="3" t="s">
        <v>9</v>
      </c>
      <c r="G3" s="28" t="s">
        <v>35</v>
      </c>
      <c r="H3" s="9" t="s">
        <v>20</v>
      </c>
      <c r="I3" s="9" t="s">
        <v>9</v>
      </c>
      <c r="J3" s="28" t="s">
        <v>35</v>
      </c>
      <c r="K3" s="9" t="s">
        <v>20</v>
      </c>
      <c r="L3" s="9" t="s">
        <v>9</v>
      </c>
      <c r="M3" s="28" t="s">
        <v>35</v>
      </c>
      <c r="O3" s="3" t="s">
        <v>20</v>
      </c>
      <c r="P3" s="3" t="s">
        <v>9</v>
      </c>
      <c r="Q3" s="28" t="s">
        <v>35</v>
      </c>
      <c r="R3" s="3" t="s">
        <v>20</v>
      </c>
      <c r="S3" s="3" t="s">
        <v>9</v>
      </c>
      <c r="T3" s="28" t="s">
        <v>35</v>
      </c>
      <c r="U3" s="9" t="s">
        <v>20</v>
      </c>
      <c r="V3" s="9" t="s">
        <v>9</v>
      </c>
      <c r="W3" s="28" t="s">
        <v>35</v>
      </c>
      <c r="X3" s="9" t="s">
        <v>20</v>
      </c>
      <c r="Y3" s="9" t="s">
        <v>9</v>
      </c>
      <c r="Z3" s="28" t="s">
        <v>35</v>
      </c>
      <c r="AA3" s="31"/>
      <c r="AB3" s="28" t="s">
        <v>20</v>
      </c>
      <c r="AC3" s="3" t="s">
        <v>9</v>
      </c>
      <c r="AD3" s="28" t="s">
        <v>35</v>
      </c>
      <c r="AE3" s="3" t="s">
        <v>20</v>
      </c>
      <c r="AF3" s="3" t="s">
        <v>9</v>
      </c>
      <c r="AG3" s="28" t="s">
        <v>35</v>
      </c>
      <c r="AH3" s="9" t="s">
        <v>20</v>
      </c>
      <c r="AI3" s="9" t="s">
        <v>9</v>
      </c>
      <c r="AJ3" s="28" t="s">
        <v>35</v>
      </c>
      <c r="AK3" s="9" t="s">
        <v>20</v>
      </c>
      <c r="AL3" s="9" t="s">
        <v>9</v>
      </c>
      <c r="AM3" s="28" t="s">
        <v>35</v>
      </c>
      <c r="AO3" s="28" t="s">
        <v>20</v>
      </c>
      <c r="AP3" s="3" t="s">
        <v>9</v>
      </c>
      <c r="AQ3" s="28" t="s">
        <v>35</v>
      </c>
      <c r="AR3" s="3" t="s">
        <v>20</v>
      </c>
      <c r="AS3" s="3" t="s">
        <v>9</v>
      </c>
      <c r="AT3" s="28" t="s">
        <v>35</v>
      </c>
      <c r="AU3" s="9" t="s">
        <v>20</v>
      </c>
      <c r="AV3" s="9" t="s">
        <v>9</v>
      </c>
      <c r="AW3" s="28" t="s">
        <v>35</v>
      </c>
      <c r="AX3" s="9" t="s">
        <v>20</v>
      </c>
      <c r="AY3" s="9" t="s">
        <v>9</v>
      </c>
      <c r="AZ3" s="28" t="s">
        <v>35</v>
      </c>
    </row>
    <row r="4" spans="2:52" x14ac:dyDescent="0.25">
      <c r="B4" s="5"/>
      <c r="C4" s="5"/>
      <c r="D4" s="5"/>
      <c r="E4" s="6"/>
      <c r="F4" s="6"/>
      <c r="G4" s="6"/>
      <c r="H4" s="5"/>
      <c r="I4" s="5"/>
      <c r="J4" s="5"/>
      <c r="K4" s="6"/>
      <c r="L4" s="6"/>
      <c r="M4" s="6"/>
      <c r="O4" s="5"/>
      <c r="P4" s="5"/>
      <c r="Q4" s="5"/>
      <c r="R4" s="6"/>
      <c r="S4" s="6"/>
      <c r="T4" s="6"/>
      <c r="U4" s="5"/>
      <c r="V4" s="5"/>
      <c r="W4" s="5"/>
      <c r="X4" s="6"/>
      <c r="Y4" s="6"/>
      <c r="Z4" s="4"/>
      <c r="AB4" s="5"/>
      <c r="AC4" s="5"/>
      <c r="AD4" s="5"/>
      <c r="AE4" s="6"/>
      <c r="AF4" s="6"/>
      <c r="AG4" s="6"/>
      <c r="AH4" s="5"/>
      <c r="AI4" s="5"/>
      <c r="AJ4" s="5"/>
      <c r="AK4" s="6"/>
      <c r="AL4" s="6"/>
      <c r="AM4" s="6"/>
      <c r="AO4" s="5"/>
      <c r="AP4" s="5"/>
      <c r="AQ4" s="5"/>
      <c r="AR4" s="6"/>
      <c r="AS4" s="6"/>
      <c r="AT4" s="6"/>
      <c r="AU4" s="5"/>
      <c r="AV4" s="5"/>
      <c r="AW4" s="5"/>
      <c r="AX4" s="6"/>
      <c r="AY4" s="6"/>
      <c r="AZ4" s="4"/>
    </row>
    <row r="5" spans="2:52" x14ac:dyDescent="0.25">
      <c r="B5" s="5"/>
      <c r="C5" s="5"/>
      <c r="D5" s="5"/>
      <c r="E5" s="6"/>
      <c r="F5" s="6"/>
      <c r="G5" s="6"/>
      <c r="H5" s="5"/>
      <c r="I5" s="5"/>
      <c r="J5" s="5"/>
      <c r="K5" s="6"/>
      <c r="L5" s="6"/>
      <c r="M5" s="6"/>
      <c r="O5" s="5"/>
      <c r="P5" s="5"/>
      <c r="Q5" s="5"/>
      <c r="R5" s="6"/>
      <c r="S5" s="6"/>
      <c r="T5" s="6"/>
      <c r="U5" s="5"/>
      <c r="V5" s="5"/>
      <c r="W5" s="5"/>
      <c r="X5" s="6"/>
      <c r="Y5" s="6"/>
      <c r="Z5" s="4"/>
      <c r="AB5" s="5"/>
      <c r="AC5" s="5"/>
      <c r="AD5" s="5"/>
      <c r="AE5" s="6"/>
      <c r="AF5" s="6"/>
      <c r="AG5" s="6"/>
      <c r="AH5" s="5"/>
      <c r="AI5" s="5"/>
      <c r="AJ5" s="5"/>
      <c r="AK5" s="6"/>
      <c r="AL5" s="6"/>
      <c r="AM5" s="6"/>
      <c r="AO5" s="5"/>
      <c r="AP5" s="5"/>
      <c r="AQ5" s="5"/>
      <c r="AR5" s="6"/>
      <c r="AS5" s="6"/>
      <c r="AT5" s="6"/>
      <c r="AU5" s="5"/>
      <c r="AV5" s="5"/>
      <c r="AW5" s="5"/>
      <c r="AX5" s="6"/>
      <c r="AY5" s="6"/>
      <c r="AZ5" s="4"/>
    </row>
    <row r="6" spans="2:52" x14ac:dyDescent="0.25">
      <c r="B6" s="5"/>
      <c r="C6" s="5"/>
      <c r="D6" s="5"/>
      <c r="E6" s="6"/>
      <c r="F6" s="6"/>
      <c r="G6" s="6"/>
      <c r="H6" s="5"/>
      <c r="I6" s="5"/>
      <c r="J6" s="5"/>
      <c r="K6" s="6"/>
      <c r="L6" s="6"/>
      <c r="M6" s="6"/>
      <c r="O6" s="5"/>
      <c r="P6" s="5"/>
      <c r="Q6" s="5"/>
      <c r="R6" s="6"/>
      <c r="S6" s="6"/>
      <c r="T6" s="6"/>
      <c r="U6" s="5"/>
      <c r="V6" s="5"/>
      <c r="W6" s="5"/>
      <c r="X6" s="6"/>
      <c r="Y6" s="6"/>
      <c r="Z6" s="4"/>
      <c r="AB6" s="5"/>
      <c r="AC6" s="5"/>
      <c r="AD6" s="5"/>
      <c r="AE6" s="6"/>
      <c r="AF6" s="6"/>
      <c r="AG6" s="6"/>
      <c r="AH6" s="5"/>
      <c r="AI6" s="5"/>
      <c r="AJ6" s="5"/>
      <c r="AK6" s="6"/>
      <c r="AL6" s="6"/>
      <c r="AM6" s="6"/>
      <c r="AO6" s="5"/>
      <c r="AP6" s="5"/>
      <c r="AQ6" s="5"/>
      <c r="AR6" s="6"/>
      <c r="AS6" s="6"/>
      <c r="AT6" s="6"/>
      <c r="AU6" s="5"/>
      <c r="AV6" s="5"/>
      <c r="AW6" s="5"/>
      <c r="AX6" s="6"/>
      <c r="AY6" s="6"/>
      <c r="AZ6" s="4"/>
    </row>
    <row r="7" spans="2:52" x14ac:dyDescent="0.25">
      <c r="B7" s="5"/>
      <c r="C7" s="5"/>
      <c r="D7" s="5"/>
      <c r="E7" s="6"/>
      <c r="F7" s="6"/>
      <c r="G7" s="6"/>
      <c r="H7" s="5"/>
      <c r="I7" s="5"/>
      <c r="J7" s="5"/>
      <c r="K7" s="6"/>
      <c r="L7" s="6"/>
      <c r="M7" s="6"/>
      <c r="O7" s="5"/>
      <c r="P7" s="5"/>
      <c r="Q7" s="5"/>
      <c r="R7" s="6"/>
      <c r="S7" s="6"/>
      <c r="T7" s="6"/>
      <c r="U7" s="5"/>
      <c r="V7" s="5"/>
      <c r="W7" s="5"/>
      <c r="X7" s="6"/>
      <c r="Y7" s="6"/>
      <c r="Z7" s="4"/>
      <c r="AB7" s="5"/>
      <c r="AC7" s="5"/>
      <c r="AD7" s="5"/>
      <c r="AE7" s="6"/>
      <c r="AF7" s="6"/>
      <c r="AG7" s="6"/>
      <c r="AH7" s="5"/>
      <c r="AI7" s="5"/>
      <c r="AJ7" s="5"/>
      <c r="AK7" s="6"/>
      <c r="AL7" s="6"/>
      <c r="AM7" s="6"/>
      <c r="AO7" s="5"/>
      <c r="AP7" s="5"/>
      <c r="AQ7" s="5"/>
      <c r="AR7" s="6"/>
      <c r="AS7" s="6"/>
      <c r="AT7" s="6"/>
      <c r="AU7" s="5"/>
      <c r="AV7" s="5"/>
      <c r="AW7" s="5"/>
      <c r="AX7" s="6"/>
      <c r="AY7" s="6"/>
      <c r="AZ7" s="4"/>
    </row>
    <row r="8" spans="2:52" x14ac:dyDescent="0.25">
      <c r="B8" s="5"/>
      <c r="C8" s="5"/>
      <c r="D8" s="5"/>
      <c r="E8" s="6"/>
      <c r="F8" s="6"/>
      <c r="G8" s="6"/>
      <c r="H8" s="5"/>
      <c r="I8" s="5"/>
      <c r="J8" s="5"/>
      <c r="K8" s="6"/>
      <c r="L8" s="6"/>
      <c r="M8" s="6"/>
      <c r="O8" s="5"/>
      <c r="P8" s="5"/>
      <c r="Q8" s="5"/>
      <c r="R8" s="6"/>
      <c r="S8" s="6"/>
      <c r="T8" s="6"/>
      <c r="U8" s="5"/>
      <c r="V8" s="5"/>
      <c r="W8" s="5"/>
      <c r="X8" s="6"/>
      <c r="Y8" s="6"/>
      <c r="Z8" s="4"/>
      <c r="AB8" s="5"/>
      <c r="AC8" s="5"/>
      <c r="AD8" s="5"/>
      <c r="AE8" s="6"/>
      <c r="AF8" s="6"/>
      <c r="AG8" s="6"/>
      <c r="AH8" s="5"/>
      <c r="AI8" s="5"/>
      <c r="AJ8" s="5"/>
      <c r="AK8" s="6"/>
      <c r="AL8" s="6"/>
      <c r="AM8" s="6"/>
      <c r="AO8" s="5"/>
      <c r="AP8" s="5"/>
      <c r="AQ8" s="5"/>
      <c r="AR8" s="6"/>
      <c r="AS8" s="6"/>
      <c r="AT8" s="6"/>
      <c r="AU8" s="5"/>
      <c r="AV8" s="5"/>
      <c r="AW8" s="5"/>
      <c r="AX8" s="6"/>
      <c r="AY8" s="6"/>
      <c r="AZ8" s="4"/>
    </row>
    <row r="9" spans="2:52" x14ac:dyDescent="0.25">
      <c r="B9" s="5"/>
      <c r="C9" s="5"/>
      <c r="D9" s="5"/>
      <c r="E9" s="6"/>
      <c r="F9" s="6"/>
      <c r="G9" s="6"/>
      <c r="H9" s="5"/>
      <c r="I9" s="5"/>
      <c r="J9" s="5"/>
      <c r="K9" s="6"/>
      <c r="L9" s="6"/>
      <c r="M9" s="6"/>
      <c r="O9" s="5"/>
      <c r="P9" s="5"/>
      <c r="Q9" s="5"/>
      <c r="R9" s="6"/>
      <c r="S9" s="6"/>
      <c r="T9" s="6"/>
      <c r="U9" s="5"/>
      <c r="V9" s="5"/>
      <c r="W9" s="5"/>
      <c r="X9" s="6"/>
      <c r="Y9" s="6"/>
      <c r="Z9" s="4"/>
      <c r="AB9" s="5"/>
      <c r="AC9" s="5"/>
      <c r="AD9" s="5"/>
      <c r="AE9" s="6"/>
      <c r="AF9" s="6"/>
      <c r="AG9" s="6"/>
      <c r="AH9" s="5"/>
      <c r="AI9" s="5"/>
      <c r="AJ9" s="5"/>
      <c r="AK9" s="6"/>
      <c r="AL9" s="6"/>
      <c r="AM9" s="6"/>
      <c r="AO9" s="5"/>
      <c r="AP9" s="5"/>
      <c r="AQ9" s="5"/>
      <c r="AR9" s="6"/>
      <c r="AS9" s="6"/>
      <c r="AT9" s="6"/>
      <c r="AU9" s="5"/>
      <c r="AV9" s="5"/>
      <c r="AW9" s="5"/>
      <c r="AX9" s="6"/>
      <c r="AY9" s="6"/>
      <c r="AZ9" s="4"/>
    </row>
    <row r="10" spans="2:52" x14ac:dyDescent="0.25">
      <c r="B10" s="5"/>
      <c r="C10" s="5"/>
      <c r="D10" s="5"/>
      <c r="E10" s="6"/>
      <c r="F10" s="6"/>
      <c r="G10" s="6"/>
      <c r="H10" s="5"/>
      <c r="I10" s="5"/>
      <c r="J10" s="5"/>
      <c r="K10" s="6"/>
      <c r="L10" s="6"/>
      <c r="M10" s="6"/>
      <c r="O10" s="5"/>
      <c r="P10" s="5"/>
      <c r="Q10" s="5"/>
      <c r="R10" s="6"/>
      <c r="S10" s="6"/>
      <c r="T10" s="6"/>
      <c r="U10" s="5"/>
      <c r="V10" s="5"/>
      <c r="W10" s="5"/>
      <c r="X10" s="6"/>
      <c r="Y10" s="6"/>
      <c r="Z10" s="4"/>
      <c r="AB10" s="5"/>
      <c r="AC10" s="5"/>
      <c r="AD10" s="5"/>
      <c r="AE10" s="6"/>
      <c r="AF10" s="6"/>
      <c r="AG10" s="6"/>
      <c r="AH10" s="5"/>
      <c r="AI10" s="5"/>
      <c r="AJ10" s="5"/>
      <c r="AK10" s="6"/>
      <c r="AL10" s="6"/>
      <c r="AM10" s="6"/>
      <c r="AO10" s="5"/>
      <c r="AP10" s="5"/>
      <c r="AQ10" s="5"/>
      <c r="AR10" s="6"/>
      <c r="AS10" s="6"/>
      <c r="AT10" s="6"/>
      <c r="AU10" s="5"/>
      <c r="AV10" s="5"/>
      <c r="AW10" s="5"/>
      <c r="AX10" s="6"/>
      <c r="AY10" s="6"/>
      <c r="AZ10" s="4"/>
    </row>
    <row r="11" spans="2:52" x14ac:dyDescent="0.25">
      <c r="B11" s="5"/>
      <c r="C11" s="5"/>
      <c r="D11" s="5"/>
      <c r="E11" s="6"/>
      <c r="F11" s="6"/>
      <c r="G11" s="6"/>
      <c r="H11" s="5"/>
      <c r="I11" s="5"/>
      <c r="J11" s="5"/>
      <c r="K11" s="6"/>
      <c r="L11" s="6"/>
      <c r="M11" s="6"/>
      <c r="O11" s="5"/>
      <c r="P11" s="5"/>
      <c r="Q11" s="5"/>
      <c r="R11" s="6"/>
      <c r="S11" s="6"/>
      <c r="T11" s="6"/>
      <c r="U11" s="5"/>
      <c r="V11" s="5"/>
      <c r="W11" s="5"/>
      <c r="X11" s="6"/>
      <c r="Y11" s="6"/>
      <c r="Z11" s="4"/>
      <c r="AB11" s="5"/>
      <c r="AC11" s="5"/>
      <c r="AD11" s="5"/>
      <c r="AE11" s="6"/>
      <c r="AF11" s="6"/>
      <c r="AG11" s="6"/>
      <c r="AH11" s="5"/>
      <c r="AI11" s="5"/>
      <c r="AJ11" s="5"/>
      <c r="AK11" s="6"/>
      <c r="AL11" s="6"/>
      <c r="AM11" s="6"/>
      <c r="AO11" s="5"/>
      <c r="AP11" s="5"/>
      <c r="AQ11" s="5"/>
      <c r="AR11" s="6"/>
      <c r="AS11" s="6"/>
      <c r="AT11" s="6"/>
      <c r="AU11" s="5"/>
      <c r="AV11" s="5"/>
      <c r="AW11" s="5"/>
      <c r="AX11" s="6"/>
      <c r="AY11" s="6"/>
      <c r="AZ11" s="4"/>
    </row>
    <row r="12" spans="2:52" x14ac:dyDescent="0.25">
      <c r="B12" s="5"/>
      <c r="C12" s="5"/>
      <c r="D12" s="5"/>
      <c r="E12" s="6"/>
      <c r="F12" s="6"/>
      <c r="G12" s="6"/>
      <c r="H12" s="5"/>
      <c r="I12" s="5"/>
      <c r="J12" s="5"/>
      <c r="K12" s="6"/>
      <c r="L12" s="6"/>
      <c r="M12" s="6"/>
      <c r="O12" s="5"/>
      <c r="P12" s="5"/>
      <c r="Q12" s="5"/>
      <c r="R12" s="6"/>
      <c r="S12" s="6"/>
      <c r="T12" s="6"/>
      <c r="U12" s="5"/>
      <c r="V12" s="5"/>
      <c r="W12" s="5"/>
      <c r="X12" s="6"/>
      <c r="Y12" s="6"/>
      <c r="Z12" s="4"/>
      <c r="AB12" s="5"/>
      <c r="AC12" s="5"/>
      <c r="AD12" s="5"/>
      <c r="AE12" s="6"/>
      <c r="AF12" s="6"/>
      <c r="AG12" s="6"/>
      <c r="AH12" s="5"/>
      <c r="AI12" s="5"/>
      <c r="AJ12" s="5"/>
      <c r="AK12" s="6"/>
      <c r="AL12" s="6"/>
      <c r="AM12" s="6"/>
      <c r="AO12" s="5"/>
      <c r="AP12" s="5"/>
      <c r="AQ12" s="5"/>
      <c r="AR12" s="6"/>
      <c r="AS12" s="6"/>
      <c r="AT12" s="6"/>
      <c r="AU12" s="5"/>
      <c r="AV12" s="5"/>
      <c r="AW12" s="5"/>
      <c r="AX12" s="6"/>
      <c r="AY12" s="6"/>
      <c r="AZ12" s="4"/>
    </row>
    <row r="13" spans="2:52" x14ac:dyDescent="0.25">
      <c r="B13" s="5"/>
      <c r="C13" s="5"/>
      <c r="D13" s="5"/>
      <c r="E13" s="6"/>
      <c r="F13" s="6"/>
      <c r="G13" s="6"/>
      <c r="H13" s="5"/>
      <c r="I13" s="5"/>
      <c r="J13" s="5"/>
      <c r="K13" s="6"/>
      <c r="L13" s="6"/>
      <c r="M13" s="6"/>
      <c r="O13" s="5"/>
      <c r="P13" s="5"/>
      <c r="Q13" s="5"/>
      <c r="R13" s="6"/>
      <c r="S13" s="6"/>
      <c r="T13" s="6"/>
      <c r="U13" s="5"/>
      <c r="V13" s="5"/>
      <c r="W13" s="5"/>
      <c r="X13" s="6"/>
      <c r="Y13" s="6"/>
      <c r="Z13" s="4"/>
      <c r="AB13" s="5"/>
      <c r="AC13" s="5"/>
      <c r="AD13" s="5"/>
      <c r="AE13" s="6"/>
      <c r="AF13" s="6"/>
      <c r="AG13" s="6"/>
      <c r="AH13" s="5"/>
      <c r="AI13" s="5"/>
      <c r="AJ13" s="5"/>
      <c r="AK13" s="6"/>
      <c r="AL13" s="6"/>
      <c r="AM13" s="6"/>
      <c r="AO13" s="5"/>
      <c r="AP13" s="5"/>
      <c r="AQ13" s="5"/>
      <c r="AR13" s="6"/>
      <c r="AS13" s="6"/>
      <c r="AT13" s="6"/>
      <c r="AU13" s="5"/>
      <c r="AV13" s="5"/>
      <c r="AW13" s="5"/>
      <c r="AX13" s="6"/>
      <c r="AY13" s="6"/>
      <c r="AZ13" s="4"/>
    </row>
    <row r="14" spans="2:52" x14ac:dyDescent="0.25">
      <c r="B14" s="8"/>
      <c r="C14" s="8"/>
      <c r="D14" s="8"/>
    </row>
    <row r="15" spans="2:52" x14ac:dyDescent="0.25">
      <c r="B15" s="41" t="s">
        <v>26</v>
      </c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22"/>
      <c r="O15" s="49" t="s">
        <v>29</v>
      </c>
      <c r="P15" s="49"/>
      <c r="Q15" s="49"/>
      <c r="R15" s="49"/>
      <c r="S15" s="49"/>
      <c r="T15" s="49"/>
      <c r="U15" s="49"/>
      <c r="V15" s="49"/>
      <c r="W15" s="49"/>
      <c r="X15" s="49"/>
      <c r="Y15" s="49"/>
      <c r="AB15" s="49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22"/>
      <c r="AO15" s="49" t="s">
        <v>30</v>
      </c>
      <c r="AP15" s="49"/>
      <c r="AQ15" s="49"/>
      <c r="AR15" s="49"/>
      <c r="AS15" s="49"/>
      <c r="AT15" s="49"/>
      <c r="AU15" s="49"/>
      <c r="AV15" s="49"/>
      <c r="AW15" s="49"/>
      <c r="AX15" s="49"/>
      <c r="AY15" s="49"/>
    </row>
    <row r="16" spans="2:52" x14ac:dyDescent="0.25">
      <c r="B16" s="42" t="s">
        <v>19</v>
      </c>
      <c r="C16" s="43"/>
      <c r="D16" s="44"/>
      <c r="E16" s="42" t="s">
        <v>21</v>
      </c>
      <c r="F16" s="43"/>
      <c r="G16" s="44"/>
      <c r="H16" s="45" t="s">
        <v>22</v>
      </c>
      <c r="I16" s="46"/>
      <c r="J16" s="47"/>
      <c r="K16" s="48" t="s">
        <v>16</v>
      </c>
      <c r="L16" s="48"/>
      <c r="M16" s="48"/>
      <c r="O16" s="42" t="s">
        <v>19</v>
      </c>
      <c r="P16" s="43"/>
      <c r="Q16" s="44"/>
      <c r="R16" s="42" t="s">
        <v>21</v>
      </c>
      <c r="S16" s="43"/>
      <c r="T16" s="44"/>
      <c r="U16" s="45" t="s">
        <v>22</v>
      </c>
      <c r="V16" s="46"/>
      <c r="W16" s="47"/>
      <c r="X16" s="48" t="s">
        <v>16</v>
      </c>
      <c r="Y16" s="48"/>
      <c r="Z16" s="48"/>
      <c r="AA16" s="22"/>
      <c r="AB16" s="42" t="s">
        <v>19</v>
      </c>
      <c r="AC16" s="43"/>
      <c r="AD16" s="44"/>
      <c r="AE16" s="42" t="s">
        <v>21</v>
      </c>
      <c r="AF16" s="43"/>
      <c r="AG16" s="44"/>
      <c r="AH16" s="45" t="s">
        <v>22</v>
      </c>
      <c r="AI16" s="46"/>
      <c r="AJ16" s="47"/>
      <c r="AK16" s="48" t="s">
        <v>16</v>
      </c>
      <c r="AL16" s="48"/>
      <c r="AM16" s="48"/>
      <c r="AO16" s="42" t="s">
        <v>19</v>
      </c>
      <c r="AP16" s="43"/>
      <c r="AQ16" s="44"/>
      <c r="AR16" s="42" t="s">
        <v>21</v>
      </c>
      <c r="AS16" s="43"/>
      <c r="AT16" s="44"/>
      <c r="AU16" s="45" t="s">
        <v>22</v>
      </c>
      <c r="AV16" s="46"/>
      <c r="AW16" s="47"/>
      <c r="AX16" s="48" t="s">
        <v>16</v>
      </c>
      <c r="AY16" s="48"/>
      <c r="AZ16" s="48"/>
    </row>
    <row r="17" spans="2:52" ht="45" x14ac:dyDescent="0.25">
      <c r="B17" s="3" t="s">
        <v>20</v>
      </c>
      <c r="C17" s="3" t="s">
        <v>9</v>
      </c>
      <c r="D17" s="28" t="s">
        <v>35</v>
      </c>
      <c r="E17" s="3" t="s">
        <v>20</v>
      </c>
      <c r="F17" s="3" t="s">
        <v>9</v>
      </c>
      <c r="G17" s="28" t="s">
        <v>35</v>
      </c>
      <c r="H17" s="9" t="s">
        <v>20</v>
      </c>
      <c r="I17" s="9" t="s">
        <v>9</v>
      </c>
      <c r="J17" s="28" t="s">
        <v>35</v>
      </c>
      <c r="K17" s="9" t="s">
        <v>20</v>
      </c>
      <c r="L17" s="9" t="s">
        <v>9</v>
      </c>
      <c r="M17" s="28" t="s">
        <v>35</v>
      </c>
      <c r="O17" s="3" t="s">
        <v>20</v>
      </c>
      <c r="P17" s="3" t="s">
        <v>9</v>
      </c>
      <c r="Q17" s="28" t="s">
        <v>35</v>
      </c>
      <c r="R17" s="3" t="s">
        <v>20</v>
      </c>
      <c r="S17" s="3" t="s">
        <v>9</v>
      </c>
      <c r="T17" s="28" t="s">
        <v>35</v>
      </c>
      <c r="U17" s="9" t="s">
        <v>20</v>
      </c>
      <c r="V17" s="9" t="s">
        <v>9</v>
      </c>
      <c r="W17" s="28" t="s">
        <v>35</v>
      </c>
      <c r="X17" s="9" t="s">
        <v>20</v>
      </c>
      <c r="Y17" s="9" t="s">
        <v>9</v>
      </c>
      <c r="Z17" s="28" t="s">
        <v>35</v>
      </c>
      <c r="AA17" s="31"/>
      <c r="AB17" s="28" t="s">
        <v>20</v>
      </c>
      <c r="AC17" s="3" t="s">
        <v>9</v>
      </c>
      <c r="AD17" s="28" t="s">
        <v>35</v>
      </c>
      <c r="AE17" s="3" t="s">
        <v>20</v>
      </c>
      <c r="AF17" s="3" t="s">
        <v>9</v>
      </c>
      <c r="AG17" s="28" t="s">
        <v>35</v>
      </c>
      <c r="AH17" s="9" t="s">
        <v>20</v>
      </c>
      <c r="AI17" s="9" t="s">
        <v>9</v>
      </c>
      <c r="AJ17" s="28" t="s">
        <v>35</v>
      </c>
      <c r="AK17" s="9" t="s">
        <v>20</v>
      </c>
      <c r="AL17" s="9" t="s">
        <v>9</v>
      </c>
      <c r="AM17" s="28" t="s">
        <v>35</v>
      </c>
      <c r="AO17" s="28" t="s">
        <v>20</v>
      </c>
      <c r="AP17" s="3" t="s">
        <v>9</v>
      </c>
      <c r="AQ17" s="28" t="s">
        <v>35</v>
      </c>
      <c r="AR17" s="3" t="s">
        <v>20</v>
      </c>
      <c r="AS17" s="3" t="s">
        <v>9</v>
      </c>
      <c r="AT17" s="28" t="s">
        <v>35</v>
      </c>
      <c r="AU17" s="9" t="s">
        <v>20</v>
      </c>
      <c r="AV17" s="9" t="s">
        <v>9</v>
      </c>
      <c r="AW17" s="28" t="s">
        <v>35</v>
      </c>
      <c r="AX17" s="9" t="s">
        <v>20</v>
      </c>
      <c r="AY17" s="9" t="s">
        <v>9</v>
      </c>
      <c r="AZ17" s="28" t="s">
        <v>35</v>
      </c>
    </row>
    <row r="18" spans="2:52" x14ac:dyDescent="0.25">
      <c r="B18" s="5"/>
      <c r="C18" s="5"/>
      <c r="D18" s="5"/>
      <c r="E18" s="6"/>
      <c r="F18" s="6"/>
      <c r="G18" s="6"/>
      <c r="H18" s="5"/>
      <c r="I18" s="5"/>
      <c r="J18" s="5"/>
      <c r="K18" s="6"/>
      <c r="L18" s="6"/>
      <c r="M18" s="6"/>
      <c r="O18" s="5"/>
      <c r="P18" s="5"/>
      <c r="Q18" s="5"/>
      <c r="R18" s="6"/>
      <c r="S18" s="6"/>
      <c r="T18" s="6"/>
      <c r="U18" s="5"/>
      <c r="V18" s="5"/>
      <c r="W18" s="5"/>
      <c r="X18" s="6"/>
      <c r="Y18" s="6"/>
      <c r="Z18" s="4"/>
      <c r="AB18" s="5"/>
      <c r="AC18" s="5"/>
      <c r="AD18" s="5"/>
      <c r="AE18" s="6"/>
      <c r="AF18" s="6"/>
      <c r="AG18" s="6"/>
      <c r="AH18" s="5"/>
      <c r="AI18" s="5"/>
      <c r="AJ18" s="5"/>
      <c r="AK18" s="6"/>
      <c r="AL18" s="6"/>
      <c r="AM18" s="6"/>
      <c r="AO18" s="5"/>
      <c r="AP18" s="5"/>
      <c r="AQ18" s="5"/>
      <c r="AR18" s="6"/>
      <c r="AS18" s="6"/>
      <c r="AT18" s="6"/>
      <c r="AU18" s="5"/>
      <c r="AV18" s="5"/>
      <c r="AW18" s="5"/>
      <c r="AX18" s="6"/>
      <c r="AY18" s="6"/>
      <c r="AZ18" s="4"/>
    </row>
    <row r="19" spans="2:52" x14ac:dyDescent="0.25">
      <c r="B19" s="5"/>
      <c r="C19" s="5"/>
      <c r="D19" s="5"/>
      <c r="E19" s="6"/>
      <c r="F19" s="6"/>
      <c r="G19" s="6"/>
      <c r="H19" s="5"/>
      <c r="I19" s="5"/>
      <c r="J19" s="5"/>
      <c r="K19" s="6"/>
      <c r="L19" s="6"/>
      <c r="M19" s="6"/>
      <c r="O19" s="5"/>
      <c r="P19" s="5"/>
      <c r="Q19" s="5"/>
      <c r="R19" s="6"/>
      <c r="S19" s="6"/>
      <c r="T19" s="6"/>
      <c r="U19" s="5"/>
      <c r="V19" s="5"/>
      <c r="W19" s="5"/>
      <c r="X19" s="6"/>
      <c r="Y19" s="6"/>
      <c r="Z19" s="4"/>
      <c r="AB19" s="5"/>
      <c r="AC19" s="5"/>
      <c r="AD19" s="5"/>
      <c r="AE19" s="6"/>
      <c r="AF19" s="6"/>
      <c r="AG19" s="6"/>
      <c r="AH19" s="5"/>
      <c r="AI19" s="5"/>
      <c r="AJ19" s="5"/>
      <c r="AK19" s="6"/>
      <c r="AL19" s="6"/>
      <c r="AM19" s="6"/>
      <c r="AO19" s="5"/>
      <c r="AP19" s="5"/>
      <c r="AQ19" s="5"/>
      <c r="AR19" s="6"/>
      <c r="AS19" s="6"/>
      <c r="AT19" s="6"/>
      <c r="AU19" s="5"/>
      <c r="AV19" s="5"/>
      <c r="AW19" s="5"/>
      <c r="AX19" s="6"/>
      <c r="AY19" s="6"/>
      <c r="AZ19" s="4"/>
    </row>
    <row r="20" spans="2:52" x14ac:dyDescent="0.25">
      <c r="B20" s="5"/>
      <c r="C20" s="5"/>
      <c r="D20" s="5"/>
      <c r="E20" s="6"/>
      <c r="F20" s="6"/>
      <c r="G20" s="6"/>
      <c r="H20" s="5"/>
      <c r="I20" s="5"/>
      <c r="J20" s="5"/>
      <c r="K20" s="6"/>
      <c r="L20" s="6"/>
      <c r="M20" s="6"/>
      <c r="O20" s="5"/>
      <c r="P20" s="5"/>
      <c r="Q20" s="5"/>
      <c r="R20" s="6"/>
      <c r="S20" s="6"/>
      <c r="T20" s="6"/>
      <c r="U20" s="5"/>
      <c r="V20" s="5"/>
      <c r="W20" s="5"/>
      <c r="X20" s="6"/>
      <c r="Y20" s="6"/>
      <c r="Z20" s="4"/>
      <c r="AB20" s="5"/>
      <c r="AC20" s="5"/>
      <c r="AD20" s="5"/>
      <c r="AE20" s="6"/>
      <c r="AF20" s="6"/>
      <c r="AG20" s="6"/>
      <c r="AH20" s="5"/>
      <c r="AI20" s="5"/>
      <c r="AJ20" s="5"/>
      <c r="AK20" s="6"/>
      <c r="AL20" s="6"/>
      <c r="AM20" s="6"/>
      <c r="AO20" s="5"/>
      <c r="AP20" s="5"/>
      <c r="AQ20" s="5"/>
      <c r="AR20" s="6"/>
      <c r="AS20" s="6"/>
      <c r="AT20" s="6"/>
      <c r="AU20" s="5"/>
      <c r="AV20" s="5"/>
      <c r="AW20" s="5"/>
      <c r="AX20" s="6"/>
      <c r="AY20" s="6"/>
      <c r="AZ20" s="4"/>
    </row>
    <row r="21" spans="2:52" x14ac:dyDescent="0.25">
      <c r="B21" s="5"/>
      <c r="C21" s="5"/>
      <c r="D21" s="5"/>
      <c r="E21" s="6"/>
      <c r="F21" s="6"/>
      <c r="G21" s="6"/>
      <c r="H21" s="5"/>
      <c r="I21" s="5"/>
      <c r="J21" s="5"/>
      <c r="K21" s="6"/>
      <c r="L21" s="6"/>
      <c r="M21" s="6"/>
      <c r="O21" s="5"/>
      <c r="P21" s="5"/>
      <c r="Q21" s="5"/>
      <c r="R21" s="6"/>
      <c r="S21" s="6"/>
      <c r="T21" s="6"/>
      <c r="U21" s="5"/>
      <c r="V21" s="5"/>
      <c r="W21" s="5"/>
      <c r="X21" s="6"/>
      <c r="Y21" s="6"/>
      <c r="Z21" s="4"/>
      <c r="AB21" s="5"/>
      <c r="AC21" s="5"/>
      <c r="AD21" s="5"/>
      <c r="AE21" s="6"/>
      <c r="AF21" s="6"/>
      <c r="AG21" s="6"/>
      <c r="AH21" s="5"/>
      <c r="AI21" s="5"/>
      <c r="AJ21" s="5"/>
      <c r="AK21" s="6"/>
      <c r="AL21" s="6"/>
      <c r="AM21" s="6"/>
      <c r="AO21" s="5"/>
      <c r="AP21" s="5"/>
      <c r="AQ21" s="5"/>
      <c r="AR21" s="6"/>
      <c r="AS21" s="6"/>
      <c r="AT21" s="6"/>
      <c r="AU21" s="5"/>
      <c r="AV21" s="5"/>
      <c r="AW21" s="5"/>
      <c r="AX21" s="6"/>
      <c r="AY21" s="6"/>
      <c r="AZ21" s="4"/>
    </row>
    <row r="22" spans="2:52" x14ac:dyDescent="0.25">
      <c r="B22" s="5"/>
      <c r="C22" s="5"/>
      <c r="D22" s="5"/>
      <c r="E22" s="6"/>
      <c r="F22" s="6"/>
      <c r="G22" s="6"/>
      <c r="H22" s="5"/>
      <c r="I22" s="5"/>
      <c r="J22" s="5"/>
      <c r="K22" s="6"/>
      <c r="L22" s="6"/>
      <c r="M22" s="6"/>
      <c r="O22" s="5"/>
      <c r="P22" s="5"/>
      <c r="Q22" s="5"/>
      <c r="R22" s="6"/>
      <c r="S22" s="6"/>
      <c r="T22" s="6"/>
      <c r="U22" s="5"/>
      <c r="V22" s="5"/>
      <c r="W22" s="5"/>
      <c r="X22" s="6"/>
      <c r="Y22" s="6"/>
      <c r="Z22" s="4"/>
      <c r="AB22" s="5"/>
      <c r="AC22" s="5"/>
      <c r="AD22" s="5"/>
      <c r="AE22" s="6"/>
      <c r="AF22" s="6"/>
      <c r="AG22" s="6"/>
      <c r="AH22" s="5"/>
      <c r="AI22" s="5"/>
      <c r="AJ22" s="5"/>
      <c r="AK22" s="6"/>
      <c r="AL22" s="6"/>
      <c r="AM22" s="6"/>
      <c r="AO22" s="5"/>
      <c r="AP22" s="5"/>
      <c r="AQ22" s="5"/>
      <c r="AR22" s="6"/>
      <c r="AS22" s="6"/>
      <c r="AT22" s="6"/>
      <c r="AU22" s="5"/>
      <c r="AV22" s="5"/>
      <c r="AW22" s="5"/>
      <c r="AX22" s="6"/>
      <c r="AY22" s="6"/>
      <c r="AZ22" s="4"/>
    </row>
    <row r="23" spans="2:52" x14ac:dyDescent="0.25">
      <c r="B23" s="5"/>
      <c r="C23" s="5"/>
      <c r="D23" s="5"/>
      <c r="E23" s="6"/>
      <c r="F23" s="6"/>
      <c r="G23" s="6"/>
      <c r="H23" s="5"/>
      <c r="I23" s="5"/>
      <c r="J23" s="5"/>
      <c r="K23" s="6"/>
      <c r="L23" s="6"/>
      <c r="M23" s="6"/>
      <c r="O23" s="5"/>
      <c r="P23" s="5"/>
      <c r="Q23" s="5"/>
      <c r="R23" s="6"/>
      <c r="S23" s="6"/>
      <c r="T23" s="6"/>
      <c r="U23" s="5"/>
      <c r="V23" s="5"/>
      <c r="W23" s="5"/>
      <c r="X23" s="6"/>
      <c r="Y23" s="6"/>
      <c r="Z23" s="4"/>
      <c r="AB23" s="5"/>
      <c r="AC23" s="5"/>
      <c r="AD23" s="5"/>
      <c r="AE23" s="6"/>
      <c r="AF23" s="6"/>
      <c r="AG23" s="6"/>
      <c r="AH23" s="5"/>
      <c r="AI23" s="5"/>
      <c r="AJ23" s="5"/>
      <c r="AK23" s="6"/>
      <c r="AL23" s="6"/>
      <c r="AM23" s="6"/>
      <c r="AO23" s="5"/>
      <c r="AP23" s="5"/>
      <c r="AQ23" s="5"/>
      <c r="AR23" s="6"/>
      <c r="AS23" s="6"/>
      <c r="AT23" s="6"/>
      <c r="AU23" s="5"/>
      <c r="AV23" s="5"/>
      <c r="AW23" s="5"/>
      <c r="AX23" s="6"/>
      <c r="AY23" s="6"/>
      <c r="AZ23" s="4"/>
    </row>
    <row r="24" spans="2:52" x14ac:dyDescent="0.25">
      <c r="B24" s="5"/>
      <c r="C24" s="5"/>
      <c r="D24" s="5"/>
      <c r="E24" s="6"/>
      <c r="F24" s="6"/>
      <c r="G24" s="6"/>
      <c r="H24" s="5"/>
      <c r="I24" s="5"/>
      <c r="J24" s="5"/>
      <c r="K24" s="6"/>
      <c r="L24" s="6"/>
      <c r="M24" s="6"/>
      <c r="O24" s="5"/>
      <c r="P24" s="5"/>
      <c r="Q24" s="5"/>
      <c r="R24" s="6"/>
      <c r="S24" s="6"/>
      <c r="T24" s="6"/>
      <c r="U24" s="5"/>
      <c r="V24" s="5"/>
      <c r="W24" s="5"/>
      <c r="X24" s="6"/>
      <c r="Y24" s="6"/>
      <c r="Z24" s="4"/>
      <c r="AB24" s="5"/>
      <c r="AC24" s="5"/>
      <c r="AD24" s="5"/>
      <c r="AE24" s="6"/>
      <c r="AF24" s="6"/>
      <c r="AG24" s="6"/>
      <c r="AH24" s="5"/>
      <c r="AI24" s="5"/>
      <c r="AJ24" s="5"/>
      <c r="AK24" s="6"/>
      <c r="AL24" s="6"/>
      <c r="AM24" s="6"/>
      <c r="AO24" s="5"/>
      <c r="AP24" s="5"/>
      <c r="AQ24" s="5"/>
      <c r="AR24" s="6"/>
      <c r="AS24" s="6"/>
      <c r="AT24" s="6"/>
      <c r="AU24" s="5"/>
      <c r="AV24" s="5"/>
      <c r="AW24" s="5"/>
      <c r="AX24" s="6"/>
      <c r="AY24" s="6"/>
      <c r="AZ24" s="4"/>
    </row>
    <row r="25" spans="2:52" x14ac:dyDescent="0.25">
      <c r="B25" s="5"/>
      <c r="C25" s="5"/>
      <c r="D25" s="5"/>
      <c r="E25" s="6"/>
      <c r="F25" s="6"/>
      <c r="G25" s="6"/>
      <c r="H25" s="5"/>
      <c r="I25" s="5"/>
      <c r="J25" s="5"/>
      <c r="K25" s="6"/>
      <c r="L25" s="6"/>
      <c r="M25" s="6"/>
      <c r="O25" s="5"/>
      <c r="P25" s="5"/>
      <c r="Q25" s="5"/>
      <c r="R25" s="6"/>
      <c r="S25" s="6"/>
      <c r="T25" s="6"/>
      <c r="U25" s="5"/>
      <c r="V25" s="5"/>
      <c r="W25" s="5"/>
      <c r="X25" s="6"/>
      <c r="Y25" s="6"/>
      <c r="Z25" s="4"/>
      <c r="AB25" s="5"/>
      <c r="AC25" s="5"/>
      <c r="AD25" s="5"/>
      <c r="AE25" s="6"/>
      <c r="AF25" s="6"/>
      <c r="AG25" s="6"/>
      <c r="AH25" s="5"/>
      <c r="AI25" s="5"/>
      <c r="AJ25" s="5"/>
      <c r="AK25" s="6"/>
      <c r="AL25" s="6"/>
      <c r="AM25" s="6"/>
      <c r="AO25" s="5"/>
      <c r="AP25" s="5"/>
      <c r="AQ25" s="5"/>
      <c r="AR25" s="6"/>
      <c r="AS25" s="6"/>
      <c r="AT25" s="6"/>
      <c r="AU25" s="5"/>
      <c r="AV25" s="5"/>
      <c r="AW25" s="5"/>
      <c r="AX25" s="6"/>
      <c r="AY25" s="6"/>
      <c r="AZ25" s="4"/>
    </row>
    <row r="26" spans="2:52" x14ac:dyDescent="0.25">
      <c r="B26" s="5"/>
      <c r="C26" s="5"/>
      <c r="D26" s="5"/>
      <c r="E26" s="6"/>
      <c r="F26" s="6"/>
      <c r="G26" s="6"/>
      <c r="H26" s="5"/>
      <c r="I26" s="5"/>
      <c r="J26" s="5"/>
      <c r="K26" s="6"/>
      <c r="L26" s="6"/>
      <c r="M26" s="6"/>
      <c r="O26" s="5"/>
      <c r="P26" s="5"/>
      <c r="Q26" s="5"/>
      <c r="R26" s="6"/>
      <c r="S26" s="6"/>
      <c r="T26" s="6"/>
      <c r="U26" s="5"/>
      <c r="V26" s="5"/>
      <c r="W26" s="5"/>
      <c r="X26" s="6"/>
      <c r="Y26" s="6"/>
      <c r="Z26" s="4"/>
      <c r="AB26" s="5"/>
      <c r="AC26" s="5"/>
      <c r="AD26" s="5"/>
      <c r="AE26" s="6"/>
      <c r="AF26" s="6"/>
      <c r="AG26" s="6"/>
      <c r="AH26" s="5"/>
      <c r="AI26" s="5"/>
      <c r="AJ26" s="5"/>
      <c r="AK26" s="6"/>
      <c r="AL26" s="6"/>
      <c r="AM26" s="6"/>
      <c r="AO26" s="5"/>
      <c r="AP26" s="5"/>
      <c r="AQ26" s="5"/>
      <c r="AR26" s="6"/>
      <c r="AS26" s="6"/>
      <c r="AT26" s="6"/>
      <c r="AU26" s="5"/>
      <c r="AV26" s="5"/>
      <c r="AW26" s="5"/>
      <c r="AX26" s="6"/>
      <c r="AY26" s="6"/>
      <c r="AZ26" s="4"/>
    </row>
    <row r="27" spans="2:52" x14ac:dyDescent="0.25">
      <c r="B27" s="5"/>
      <c r="C27" s="5"/>
      <c r="D27" s="5"/>
      <c r="E27" s="6"/>
      <c r="F27" s="6"/>
      <c r="G27" s="6"/>
      <c r="H27" s="5"/>
      <c r="I27" s="5"/>
      <c r="J27" s="5"/>
      <c r="K27" s="6"/>
      <c r="L27" s="6"/>
      <c r="M27" s="6"/>
      <c r="O27" s="5"/>
      <c r="P27" s="5"/>
      <c r="Q27" s="5"/>
      <c r="R27" s="6"/>
      <c r="S27" s="6"/>
      <c r="T27" s="6"/>
      <c r="U27" s="5"/>
      <c r="V27" s="5"/>
      <c r="W27" s="5"/>
      <c r="X27" s="6"/>
      <c r="Y27" s="6"/>
      <c r="Z27" s="4"/>
      <c r="AB27" s="5"/>
      <c r="AC27" s="5"/>
      <c r="AD27" s="5"/>
      <c r="AE27" s="6"/>
      <c r="AF27" s="6"/>
      <c r="AG27" s="6"/>
      <c r="AH27" s="5"/>
      <c r="AI27" s="5"/>
      <c r="AJ27" s="5"/>
      <c r="AK27" s="6"/>
      <c r="AL27" s="6"/>
      <c r="AM27" s="6"/>
      <c r="AO27" s="5"/>
      <c r="AP27" s="5"/>
      <c r="AQ27" s="5"/>
      <c r="AR27" s="6"/>
      <c r="AS27" s="6"/>
      <c r="AT27" s="6"/>
      <c r="AU27" s="5"/>
      <c r="AV27" s="5"/>
      <c r="AW27" s="5"/>
      <c r="AX27" s="6"/>
      <c r="AY27" s="6"/>
      <c r="AZ27" s="4"/>
    </row>
    <row r="28" spans="2:52" x14ac:dyDescent="0.25">
      <c r="B28" s="8"/>
      <c r="C28" s="8"/>
      <c r="D28" s="8"/>
    </row>
    <row r="29" spans="2:52" x14ac:dyDescent="0.25">
      <c r="B29" s="8"/>
      <c r="C29" s="8"/>
      <c r="D29" s="8"/>
    </row>
    <row r="30" spans="2:52" x14ac:dyDescent="0.25">
      <c r="B30" s="8"/>
      <c r="C30" s="8"/>
      <c r="D30" s="8"/>
    </row>
    <row r="31" spans="2:52" x14ac:dyDescent="0.25">
      <c r="B31" s="8"/>
      <c r="C31" s="8"/>
      <c r="D31" s="8"/>
    </row>
    <row r="32" spans="2:52" x14ac:dyDescent="0.25">
      <c r="B32" s="8"/>
      <c r="C32" s="8"/>
      <c r="D32" s="8"/>
    </row>
    <row r="33" spans="2:4" x14ac:dyDescent="0.25">
      <c r="B33" s="8"/>
      <c r="C33" s="8"/>
      <c r="D33" s="8"/>
    </row>
    <row r="34" spans="2:4" x14ac:dyDescent="0.25">
      <c r="B34" s="8"/>
      <c r="C34" s="8"/>
      <c r="D34" s="8"/>
    </row>
  </sheetData>
  <mergeCells count="40">
    <mergeCell ref="B1:L1"/>
    <mergeCell ref="O1:Y1"/>
    <mergeCell ref="AB1:AL1"/>
    <mergeCell ref="AO1:AY1"/>
    <mergeCell ref="B2:D2"/>
    <mergeCell ref="E2:G2"/>
    <mergeCell ref="H2:J2"/>
    <mergeCell ref="K2:M2"/>
    <mergeCell ref="O2:Q2"/>
    <mergeCell ref="R2:T2"/>
    <mergeCell ref="B15:L15"/>
    <mergeCell ref="O15:Y15"/>
    <mergeCell ref="AB15:AL15"/>
    <mergeCell ref="AO15:AY15"/>
    <mergeCell ref="U2:W2"/>
    <mergeCell ref="X2:Z2"/>
    <mergeCell ref="AB2:AD2"/>
    <mergeCell ref="AE2:AG2"/>
    <mergeCell ref="AH2:AJ2"/>
    <mergeCell ref="AK2:AM2"/>
    <mergeCell ref="R16:T16"/>
    <mergeCell ref="AO2:AQ2"/>
    <mergeCell ref="AR2:AT2"/>
    <mergeCell ref="AU2:AW2"/>
    <mergeCell ref="AX2:AZ2"/>
    <mergeCell ref="B16:D16"/>
    <mergeCell ref="E16:G16"/>
    <mergeCell ref="H16:J16"/>
    <mergeCell ref="K16:M16"/>
    <mergeCell ref="O16:Q16"/>
    <mergeCell ref="AO16:AQ16"/>
    <mergeCell ref="AR16:AT16"/>
    <mergeCell ref="AU16:AW16"/>
    <mergeCell ref="AX16:AZ16"/>
    <mergeCell ref="U16:W16"/>
    <mergeCell ref="X16:Z16"/>
    <mergeCell ref="AB16:AD16"/>
    <mergeCell ref="AE16:AG16"/>
    <mergeCell ref="AH16:AJ16"/>
    <mergeCell ref="AK16:AM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C38"/>
  <sheetViews>
    <sheetView topLeftCell="A6" workbookViewId="0">
      <selection activeCell="P27" sqref="P27"/>
    </sheetView>
  </sheetViews>
  <sheetFormatPr defaultColWidth="11.42578125" defaultRowHeight="15" x14ac:dyDescent="0.25"/>
  <sheetData>
    <row r="1" spans="1:29" s="2" customFormat="1" x14ac:dyDescent="0.25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</row>
    <row r="4" spans="1:29" ht="57.75" customHeight="1" x14ac:dyDescent="0.25">
      <c r="D4" s="50" t="s">
        <v>36</v>
      </c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  <c r="AA4" s="51"/>
      <c r="AB4" s="51"/>
      <c r="AC4" s="51"/>
    </row>
    <row r="5" spans="1:29" s="1" customFormat="1" x14ac:dyDescent="0.25">
      <c r="M5" s="13"/>
      <c r="N5" s="16"/>
    </row>
    <row r="6" spans="1:29" ht="45" x14ac:dyDescent="0.25">
      <c r="A6" s="3" t="s">
        <v>6</v>
      </c>
      <c r="B6" s="3" t="s">
        <v>11</v>
      </c>
      <c r="C6" s="3" t="s">
        <v>4</v>
      </c>
      <c r="D6" s="3" t="s">
        <v>2</v>
      </c>
      <c r="E6" s="3" t="s">
        <v>3</v>
      </c>
      <c r="F6" s="3" t="s">
        <v>33</v>
      </c>
      <c r="G6" s="3" t="s">
        <v>0</v>
      </c>
      <c r="H6" s="3" t="s">
        <v>1</v>
      </c>
      <c r="I6" s="3" t="s">
        <v>7</v>
      </c>
      <c r="J6" s="3" t="s">
        <v>8</v>
      </c>
      <c r="K6" s="3" t="s">
        <v>17</v>
      </c>
      <c r="L6" s="3" t="s">
        <v>18</v>
      </c>
      <c r="M6" s="14" t="s">
        <v>10</v>
      </c>
      <c r="N6" s="17" t="s">
        <v>23</v>
      </c>
      <c r="O6" s="3" t="s">
        <v>27</v>
      </c>
    </row>
    <row r="7" spans="1:29" x14ac:dyDescent="0.25">
      <c r="A7" s="53" t="s">
        <v>12</v>
      </c>
      <c r="B7" s="7">
        <v>1</v>
      </c>
      <c r="C7" s="54" t="s">
        <v>5</v>
      </c>
      <c r="D7" s="54">
        <v>66</v>
      </c>
      <c r="E7" s="54">
        <v>66</v>
      </c>
      <c r="F7" s="56"/>
      <c r="G7" s="54">
        <v>1</v>
      </c>
      <c r="H7" s="54">
        <v>1</v>
      </c>
      <c r="I7" s="54">
        <v>66</v>
      </c>
      <c r="J7" s="54">
        <v>66</v>
      </c>
      <c r="K7" s="6"/>
      <c r="L7" s="6"/>
      <c r="M7" s="6"/>
      <c r="N7" s="18"/>
      <c r="O7" s="15"/>
    </row>
    <row r="8" spans="1:29" x14ac:dyDescent="0.25">
      <c r="A8" s="53"/>
      <c r="B8" s="7">
        <v>3</v>
      </c>
      <c r="C8" s="54"/>
      <c r="D8" s="54"/>
      <c r="E8" s="54"/>
      <c r="F8" s="57"/>
      <c r="G8" s="54"/>
      <c r="H8" s="54"/>
      <c r="I8" s="54"/>
      <c r="J8" s="54"/>
      <c r="K8" s="6"/>
      <c r="L8" s="6"/>
      <c r="M8" s="6"/>
      <c r="N8" s="18"/>
      <c r="O8" s="15"/>
    </row>
    <row r="9" spans="1:29" x14ac:dyDescent="0.25">
      <c r="A9" s="53"/>
      <c r="B9" s="7">
        <v>5</v>
      </c>
      <c r="C9" s="54"/>
      <c r="D9" s="54"/>
      <c r="E9" s="54"/>
      <c r="F9" s="57"/>
      <c r="G9" s="54"/>
      <c r="H9" s="54"/>
      <c r="I9" s="54"/>
      <c r="J9" s="54"/>
      <c r="K9" s="6"/>
      <c r="L9" s="6"/>
      <c r="M9" s="6"/>
      <c r="N9" s="18"/>
      <c r="O9" s="15"/>
    </row>
    <row r="10" spans="1:29" x14ac:dyDescent="0.25">
      <c r="A10" s="53"/>
      <c r="B10" s="7">
        <v>10</v>
      </c>
      <c r="C10" s="54"/>
      <c r="D10" s="54"/>
      <c r="E10" s="54"/>
      <c r="F10" s="57"/>
      <c r="G10" s="54"/>
      <c r="H10" s="54"/>
      <c r="I10" s="54"/>
      <c r="J10" s="54"/>
      <c r="K10" s="6"/>
      <c r="L10" s="6"/>
      <c r="M10" s="6"/>
      <c r="N10" s="18"/>
      <c r="O10" s="15"/>
    </row>
    <row r="11" spans="1:29" x14ac:dyDescent="0.25">
      <c r="A11" s="54" t="s">
        <v>13</v>
      </c>
      <c r="B11" s="4">
        <v>1</v>
      </c>
      <c r="C11" s="54"/>
      <c r="D11" s="54"/>
      <c r="E11" s="54"/>
      <c r="F11" s="57"/>
      <c r="G11" s="54"/>
      <c r="H11" s="54"/>
      <c r="I11" s="54"/>
      <c r="J11" s="54"/>
      <c r="K11" s="5"/>
      <c r="L11" s="5"/>
      <c r="M11" s="5"/>
      <c r="N11" s="19"/>
      <c r="O11" s="5"/>
    </row>
    <row r="12" spans="1:29" x14ac:dyDescent="0.25">
      <c r="A12" s="54"/>
      <c r="B12" s="4">
        <v>3</v>
      </c>
      <c r="C12" s="54"/>
      <c r="D12" s="54"/>
      <c r="E12" s="54"/>
      <c r="F12" s="57"/>
      <c r="G12" s="54"/>
      <c r="H12" s="54"/>
      <c r="I12" s="54"/>
      <c r="J12" s="54"/>
      <c r="K12" s="5"/>
      <c r="L12" s="5"/>
      <c r="M12" s="5"/>
      <c r="N12" s="19"/>
      <c r="O12" s="5"/>
    </row>
    <row r="13" spans="1:29" x14ac:dyDescent="0.25">
      <c r="A13" s="54"/>
      <c r="B13" s="4">
        <v>5</v>
      </c>
      <c r="C13" s="54"/>
      <c r="D13" s="54"/>
      <c r="E13" s="54"/>
      <c r="F13" s="57"/>
      <c r="G13" s="54"/>
      <c r="H13" s="54"/>
      <c r="I13" s="54"/>
      <c r="J13" s="54"/>
      <c r="K13" s="5"/>
      <c r="L13" s="5"/>
      <c r="M13" s="5"/>
      <c r="N13" s="19"/>
      <c r="O13" s="5"/>
    </row>
    <row r="14" spans="1:29" x14ac:dyDescent="0.25">
      <c r="A14" s="54"/>
      <c r="B14" s="4">
        <v>10</v>
      </c>
      <c r="C14" s="54"/>
      <c r="D14" s="54"/>
      <c r="E14" s="54"/>
      <c r="F14" s="57"/>
      <c r="G14" s="54"/>
      <c r="H14" s="54"/>
      <c r="I14" s="54"/>
      <c r="J14" s="54"/>
      <c r="K14" s="5"/>
      <c r="L14" s="5"/>
      <c r="M14" s="5"/>
      <c r="N14" s="19"/>
      <c r="O14" s="5"/>
    </row>
    <row r="15" spans="1:29" x14ac:dyDescent="0.25">
      <c r="A15" s="53" t="s">
        <v>14</v>
      </c>
      <c r="B15" s="7">
        <v>1</v>
      </c>
      <c r="C15" s="54"/>
      <c r="D15" s="54"/>
      <c r="E15" s="54"/>
      <c r="F15" s="57"/>
      <c r="G15" s="54"/>
      <c r="H15" s="54"/>
      <c r="I15" s="54"/>
      <c r="J15" s="54"/>
      <c r="K15" s="15"/>
      <c r="L15" s="15"/>
      <c r="M15" s="15"/>
      <c r="N15" s="20"/>
      <c r="O15" s="15"/>
    </row>
    <row r="16" spans="1:29" x14ac:dyDescent="0.25">
      <c r="A16" s="53"/>
      <c r="B16" s="7">
        <v>3</v>
      </c>
      <c r="C16" s="54"/>
      <c r="D16" s="54"/>
      <c r="E16" s="54"/>
      <c r="F16" s="57"/>
      <c r="G16" s="54"/>
      <c r="H16" s="54"/>
      <c r="I16" s="54"/>
      <c r="J16" s="54"/>
      <c r="K16" s="15"/>
      <c r="L16" s="15"/>
      <c r="M16" s="15"/>
      <c r="N16" s="20"/>
      <c r="O16" s="15"/>
    </row>
    <row r="17" spans="1:15" x14ac:dyDescent="0.25">
      <c r="A17" s="53"/>
      <c r="B17" s="7">
        <v>5</v>
      </c>
      <c r="C17" s="54"/>
      <c r="D17" s="54"/>
      <c r="E17" s="54"/>
      <c r="F17" s="57"/>
      <c r="G17" s="54"/>
      <c r="H17" s="54"/>
      <c r="I17" s="54"/>
      <c r="J17" s="54"/>
      <c r="K17" s="15"/>
      <c r="L17" s="15"/>
      <c r="M17" s="15"/>
      <c r="N17" s="20"/>
      <c r="O17" s="15"/>
    </row>
    <row r="18" spans="1:15" x14ac:dyDescent="0.25">
      <c r="A18" s="53"/>
      <c r="B18" s="7">
        <v>10</v>
      </c>
      <c r="C18" s="54"/>
      <c r="D18" s="54"/>
      <c r="E18" s="54"/>
      <c r="F18" s="57"/>
      <c r="G18" s="54"/>
      <c r="H18" s="54"/>
      <c r="I18" s="54"/>
      <c r="J18" s="54"/>
      <c r="K18" s="15"/>
      <c r="L18" s="15"/>
      <c r="M18" s="15"/>
      <c r="N18" s="20"/>
      <c r="O18" s="15"/>
    </row>
    <row r="19" spans="1:15" x14ac:dyDescent="0.25">
      <c r="A19" s="54" t="s">
        <v>15</v>
      </c>
      <c r="B19" s="4">
        <v>1</v>
      </c>
      <c r="C19" s="54"/>
      <c r="D19" s="54"/>
      <c r="E19" s="54"/>
      <c r="F19" s="57"/>
      <c r="G19" s="54"/>
      <c r="H19" s="54"/>
      <c r="I19" s="54"/>
      <c r="J19" s="54"/>
      <c r="K19" s="5"/>
      <c r="L19" s="5"/>
      <c r="M19" s="5"/>
      <c r="N19" s="19"/>
      <c r="O19" s="5"/>
    </row>
    <row r="20" spans="1:15" x14ac:dyDescent="0.25">
      <c r="A20" s="54"/>
      <c r="B20" s="4">
        <v>3</v>
      </c>
      <c r="C20" s="54"/>
      <c r="D20" s="54"/>
      <c r="E20" s="54"/>
      <c r="F20" s="57"/>
      <c r="G20" s="54"/>
      <c r="H20" s="54"/>
      <c r="I20" s="54"/>
      <c r="J20" s="54"/>
      <c r="K20" s="5"/>
      <c r="L20" s="5"/>
      <c r="M20" s="5"/>
      <c r="N20" s="19"/>
      <c r="O20" s="5"/>
    </row>
    <row r="21" spans="1:15" x14ac:dyDescent="0.25">
      <c r="A21" s="54"/>
      <c r="B21" s="4">
        <v>5</v>
      </c>
      <c r="C21" s="54"/>
      <c r="D21" s="54"/>
      <c r="E21" s="54"/>
      <c r="F21" s="57"/>
      <c r="G21" s="54"/>
      <c r="H21" s="54"/>
      <c r="I21" s="54"/>
      <c r="J21" s="54"/>
      <c r="K21" s="5"/>
      <c r="L21" s="5"/>
      <c r="M21" s="5"/>
      <c r="N21" s="19"/>
      <c r="O21" s="5"/>
    </row>
    <row r="22" spans="1:15" ht="15.75" thickBot="1" x14ac:dyDescent="0.3">
      <c r="A22" s="62"/>
      <c r="B22" s="39">
        <v>10</v>
      </c>
      <c r="C22" s="62"/>
      <c r="D22" s="62"/>
      <c r="E22" s="62"/>
      <c r="F22" s="66"/>
      <c r="G22" s="62"/>
      <c r="H22" s="62"/>
      <c r="I22" s="62"/>
      <c r="J22" s="62"/>
      <c r="K22" s="32"/>
      <c r="L22" s="32"/>
      <c r="M22" s="32"/>
      <c r="N22" s="33"/>
      <c r="O22" s="32"/>
    </row>
    <row r="23" spans="1:15" x14ac:dyDescent="0.25">
      <c r="A23" s="64" t="s">
        <v>12</v>
      </c>
      <c r="B23" s="34">
        <v>1</v>
      </c>
      <c r="C23" s="61" t="s">
        <v>24</v>
      </c>
      <c r="D23" s="61">
        <v>128</v>
      </c>
      <c r="E23" s="61">
        <v>128</v>
      </c>
      <c r="F23" s="65"/>
      <c r="G23" s="61">
        <v>1</v>
      </c>
      <c r="H23" s="61">
        <v>1</v>
      </c>
      <c r="I23" s="61">
        <v>128</v>
      </c>
      <c r="J23" s="61">
        <v>128</v>
      </c>
      <c r="K23" s="34"/>
      <c r="L23" s="34"/>
      <c r="M23" s="35"/>
      <c r="N23" s="36"/>
      <c r="O23" s="35"/>
    </row>
    <row r="24" spans="1:15" x14ac:dyDescent="0.25">
      <c r="A24" s="60"/>
      <c r="B24" s="4">
        <v>3</v>
      </c>
      <c r="C24" s="54"/>
      <c r="D24" s="54"/>
      <c r="E24" s="54"/>
      <c r="F24" s="57"/>
      <c r="G24" s="54"/>
      <c r="H24" s="54"/>
      <c r="I24" s="54"/>
      <c r="J24" s="54"/>
      <c r="K24" s="4"/>
      <c r="L24" s="4"/>
      <c r="M24" s="5"/>
      <c r="N24" s="19"/>
      <c r="O24" s="5"/>
    </row>
    <row r="25" spans="1:15" x14ac:dyDescent="0.25">
      <c r="A25" s="60"/>
      <c r="B25" s="4">
        <v>5</v>
      </c>
      <c r="C25" s="54"/>
      <c r="D25" s="54"/>
      <c r="E25" s="54"/>
      <c r="F25" s="57"/>
      <c r="G25" s="54"/>
      <c r="H25" s="54"/>
      <c r="I25" s="54"/>
      <c r="J25" s="54"/>
      <c r="K25" s="4"/>
      <c r="L25" s="4"/>
      <c r="M25" s="5"/>
      <c r="N25" s="19"/>
      <c r="O25" s="5"/>
    </row>
    <row r="26" spans="1:15" x14ac:dyDescent="0.25">
      <c r="A26" s="60"/>
      <c r="B26" s="4">
        <v>10</v>
      </c>
      <c r="C26" s="54"/>
      <c r="D26" s="54"/>
      <c r="E26" s="54"/>
      <c r="F26" s="57"/>
      <c r="G26" s="54"/>
      <c r="H26" s="54"/>
      <c r="I26" s="54"/>
      <c r="J26" s="54"/>
      <c r="K26" s="4"/>
      <c r="L26" s="4"/>
      <c r="M26" s="5"/>
      <c r="N26" s="19"/>
      <c r="O26" s="5"/>
    </row>
    <row r="27" spans="1:15" x14ac:dyDescent="0.25">
      <c r="A27" s="59" t="s">
        <v>13</v>
      </c>
      <c r="B27" s="10">
        <v>1</v>
      </c>
      <c r="C27" s="54"/>
      <c r="D27" s="54"/>
      <c r="E27" s="54"/>
      <c r="F27" s="57"/>
      <c r="G27" s="54"/>
      <c r="H27" s="54"/>
      <c r="I27" s="54"/>
      <c r="J27" s="54"/>
      <c r="K27" s="10"/>
      <c r="L27" s="10"/>
      <c r="M27" s="15"/>
      <c r="N27" s="20"/>
      <c r="O27" s="15"/>
    </row>
    <row r="28" spans="1:15" x14ac:dyDescent="0.25">
      <c r="A28" s="59"/>
      <c r="B28" s="10">
        <v>3</v>
      </c>
      <c r="C28" s="54"/>
      <c r="D28" s="54"/>
      <c r="E28" s="54"/>
      <c r="F28" s="57"/>
      <c r="G28" s="54"/>
      <c r="H28" s="54"/>
      <c r="I28" s="54"/>
      <c r="J28" s="54"/>
      <c r="K28" s="10"/>
      <c r="L28" s="10"/>
      <c r="M28" s="15"/>
      <c r="N28" s="20"/>
      <c r="O28" s="15"/>
    </row>
    <row r="29" spans="1:15" x14ac:dyDescent="0.25">
      <c r="A29" s="59"/>
      <c r="B29" s="10">
        <v>5</v>
      </c>
      <c r="C29" s="54"/>
      <c r="D29" s="54"/>
      <c r="E29" s="54"/>
      <c r="F29" s="57"/>
      <c r="G29" s="54"/>
      <c r="H29" s="54"/>
      <c r="I29" s="54"/>
      <c r="J29" s="54"/>
      <c r="K29" s="10"/>
      <c r="L29" s="10"/>
      <c r="M29" s="15"/>
      <c r="N29" s="20"/>
      <c r="O29" s="15"/>
    </row>
    <row r="30" spans="1:15" x14ac:dyDescent="0.25">
      <c r="A30" s="59"/>
      <c r="B30" s="10">
        <v>10</v>
      </c>
      <c r="C30" s="54"/>
      <c r="D30" s="54"/>
      <c r="E30" s="54"/>
      <c r="F30" s="57"/>
      <c r="G30" s="54"/>
      <c r="H30" s="54"/>
      <c r="I30" s="54"/>
      <c r="J30" s="54"/>
      <c r="K30" s="10"/>
      <c r="L30" s="10"/>
      <c r="M30" s="15"/>
      <c r="N30" s="20"/>
      <c r="O30" s="15"/>
    </row>
    <row r="31" spans="1:15" x14ac:dyDescent="0.25">
      <c r="A31" s="60" t="s">
        <v>14</v>
      </c>
      <c r="B31" s="4">
        <v>1</v>
      </c>
      <c r="C31" s="54"/>
      <c r="D31" s="54"/>
      <c r="E31" s="54"/>
      <c r="F31" s="57"/>
      <c r="G31" s="54"/>
      <c r="H31" s="54"/>
      <c r="I31" s="54"/>
      <c r="J31" s="54"/>
      <c r="K31" s="5"/>
      <c r="L31" s="5"/>
      <c r="M31" s="5"/>
      <c r="N31" s="19"/>
      <c r="O31" s="5"/>
    </row>
    <row r="32" spans="1:15" x14ac:dyDescent="0.25">
      <c r="A32" s="60"/>
      <c r="B32" s="4">
        <v>3</v>
      </c>
      <c r="C32" s="54"/>
      <c r="D32" s="54"/>
      <c r="E32" s="54"/>
      <c r="F32" s="57"/>
      <c r="G32" s="54"/>
      <c r="H32" s="54"/>
      <c r="I32" s="54"/>
      <c r="J32" s="54"/>
      <c r="K32" s="5"/>
      <c r="L32" s="5"/>
      <c r="M32" s="5"/>
      <c r="N32" s="19"/>
      <c r="O32" s="5"/>
    </row>
    <row r="33" spans="1:15" x14ac:dyDescent="0.25">
      <c r="A33" s="60"/>
      <c r="B33" s="4">
        <v>5</v>
      </c>
      <c r="C33" s="54"/>
      <c r="D33" s="54"/>
      <c r="E33" s="54"/>
      <c r="F33" s="57"/>
      <c r="G33" s="54"/>
      <c r="H33" s="54"/>
      <c r="I33" s="54"/>
      <c r="J33" s="54"/>
      <c r="K33" s="5"/>
      <c r="L33" s="5"/>
      <c r="M33" s="5"/>
      <c r="N33" s="19"/>
      <c r="O33" s="5"/>
    </row>
    <row r="34" spans="1:15" x14ac:dyDescent="0.25">
      <c r="A34" s="60"/>
      <c r="B34" s="11">
        <v>10</v>
      </c>
      <c r="C34" s="54"/>
      <c r="D34" s="54"/>
      <c r="E34" s="54"/>
      <c r="F34" s="57"/>
      <c r="G34" s="54"/>
      <c r="H34" s="54"/>
      <c r="I34" s="54"/>
      <c r="J34" s="54"/>
      <c r="K34" s="5"/>
      <c r="L34" s="5"/>
      <c r="M34" s="5"/>
      <c r="N34" s="19"/>
      <c r="O34" s="5"/>
    </row>
    <row r="35" spans="1:15" x14ac:dyDescent="0.25">
      <c r="A35" s="59" t="s">
        <v>15</v>
      </c>
      <c r="B35" s="10">
        <v>1</v>
      </c>
      <c r="C35" s="54"/>
      <c r="D35" s="54"/>
      <c r="E35" s="54"/>
      <c r="F35" s="57"/>
      <c r="G35" s="54"/>
      <c r="H35" s="54"/>
      <c r="I35" s="54"/>
      <c r="J35" s="54"/>
      <c r="K35" s="15"/>
      <c r="L35" s="15"/>
      <c r="M35" s="15"/>
      <c r="N35" s="20"/>
      <c r="O35" s="15"/>
    </row>
    <row r="36" spans="1:15" x14ac:dyDescent="0.25">
      <c r="A36" s="59"/>
      <c r="B36" s="10">
        <v>3</v>
      </c>
      <c r="C36" s="54"/>
      <c r="D36" s="54"/>
      <c r="E36" s="54"/>
      <c r="F36" s="57"/>
      <c r="G36" s="54"/>
      <c r="H36" s="54"/>
      <c r="I36" s="54"/>
      <c r="J36" s="54"/>
      <c r="K36" s="15"/>
      <c r="L36" s="15"/>
      <c r="M36" s="15"/>
      <c r="N36" s="20"/>
      <c r="O36" s="15"/>
    </row>
    <row r="37" spans="1:15" x14ac:dyDescent="0.25">
      <c r="A37" s="59"/>
      <c r="B37" s="10">
        <v>5</v>
      </c>
      <c r="C37" s="54"/>
      <c r="D37" s="54"/>
      <c r="E37" s="54"/>
      <c r="F37" s="57"/>
      <c r="G37" s="54"/>
      <c r="H37" s="54"/>
      <c r="I37" s="54"/>
      <c r="J37" s="54"/>
      <c r="K37" s="15"/>
      <c r="L37" s="15"/>
      <c r="M37" s="15"/>
      <c r="N37" s="20"/>
      <c r="O37" s="15"/>
    </row>
    <row r="38" spans="1:15" ht="15.75" thickBot="1" x14ac:dyDescent="0.3">
      <c r="A38" s="63"/>
      <c r="B38" s="40">
        <v>10</v>
      </c>
      <c r="C38" s="62"/>
      <c r="D38" s="62"/>
      <c r="E38" s="62"/>
      <c r="F38" s="66"/>
      <c r="G38" s="62"/>
      <c r="H38" s="62"/>
      <c r="I38" s="62"/>
      <c r="J38" s="62"/>
      <c r="K38" s="37"/>
      <c r="L38" s="37"/>
      <c r="M38" s="37"/>
      <c r="N38" s="38"/>
      <c r="O38" s="37"/>
    </row>
  </sheetData>
  <mergeCells count="26">
    <mergeCell ref="A1:AA1"/>
    <mergeCell ref="D4:AC4"/>
    <mergeCell ref="A7:A10"/>
    <mergeCell ref="C7:C22"/>
    <mergeCell ref="D7:D22"/>
    <mergeCell ref="E7:E22"/>
    <mergeCell ref="F7:F22"/>
    <mergeCell ref="G7:G22"/>
    <mergeCell ref="H7:H22"/>
    <mergeCell ref="I7:I22"/>
    <mergeCell ref="J7:J22"/>
    <mergeCell ref="A11:A14"/>
    <mergeCell ref="A15:A18"/>
    <mergeCell ref="A19:A22"/>
    <mergeCell ref="G23:G38"/>
    <mergeCell ref="H23:H38"/>
    <mergeCell ref="I23:I38"/>
    <mergeCell ref="J23:J38"/>
    <mergeCell ref="A27:A30"/>
    <mergeCell ref="A31:A34"/>
    <mergeCell ref="A35:A38"/>
    <mergeCell ref="A23:A26"/>
    <mergeCell ref="C23:C38"/>
    <mergeCell ref="D23:D38"/>
    <mergeCell ref="E23:E38"/>
    <mergeCell ref="F23:F38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DataExp1</vt:lpstr>
      <vt:lpstr>Experiment 1</vt:lpstr>
      <vt:lpstr>DataExp2</vt:lpstr>
      <vt:lpstr>Experiment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2024-09-19T17:36:18Z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