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3170" documentId="13_ncr:1_{4B21F078-1D86-7D42-975E-771B6217AA2A}" xr6:coauthVersionLast="47" xr6:coauthVersionMax="47" xr10:uidLastSave="{BB2C3DD6-C857-4775-B584-DA7AE8FAD1FB}"/>
  <bookViews>
    <workbookView xWindow="-120" yWindow="-120" windowWidth="29040" windowHeight="15720" xr2:uid="{3D929851-844D-4663-98AC-E560A272E6E8}"/>
  </bookViews>
  <sheets>
    <sheet name="DataExp1.1" sheetId="2" r:id="rId1"/>
    <sheet name="Experiment 1.1" sheetId="1" r:id="rId2"/>
    <sheet name="DataExp1.2" sheetId="8" r:id="rId3"/>
    <sheet name="Experiment 1.2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1" l="1"/>
  <c r="M25" i="1"/>
  <c r="N25" i="1"/>
  <c r="O25" i="1"/>
  <c r="K25" i="1"/>
  <c r="L17" i="1"/>
  <c r="M17" i="1"/>
  <c r="N17" i="1"/>
  <c r="O17" i="1"/>
  <c r="K17" i="1"/>
  <c r="L16" i="1"/>
  <c r="M16" i="1"/>
  <c r="N16" i="1"/>
  <c r="O16" i="1"/>
  <c r="K16" i="1"/>
  <c r="L15" i="1"/>
  <c r="M15" i="1"/>
  <c r="N15" i="1"/>
  <c r="O15" i="1"/>
  <c r="K15" i="1"/>
  <c r="L14" i="1"/>
  <c r="M14" i="1"/>
  <c r="N14" i="1"/>
  <c r="O14" i="1"/>
  <c r="K14" i="1"/>
  <c r="L13" i="1"/>
  <c r="M13" i="1"/>
  <c r="N13" i="1"/>
  <c r="O13" i="1"/>
  <c r="K13" i="1"/>
  <c r="L12" i="1"/>
  <c r="M12" i="1"/>
  <c r="N12" i="1"/>
  <c r="O12" i="1"/>
  <c r="K12" i="1"/>
  <c r="L11" i="1"/>
  <c r="M11" i="1"/>
  <c r="N11" i="1"/>
  <c r="O11" i="1"/>
  <c r="K11" i="1"/>
  <c r="L10" i="1"/>
  <c r="M10" i="1"/>
  <c r="N10" i="1"/>
  <c r="O10" i="1"/>
  <c r="K10" i="1"/>
  <c r="L9" i="1"/>
  <c r="M9" i="1"/>
  <c r="N9" i="1"/>
  <c r="O9" i="1"/>
  <c r="K9" i="1"/>
  <c r="L8" i="1"/>
  <c r="M8" i="1"/>
  <c r="N8" i="1"/>
  <c r="O8" i="1"/>
  <c r="K8" i="1"/>
  <c r="L4" i="1"/>
  <c r="M4" i="1"/>
  <c r="N4" i="1"/>
  <c r="O4" i="1"/>
  <c r="L7" i="1"/>
  <c r="M7" i="1"/>
  <c r="N7" i="1"/>
  <c r="O7" i="1"/>
  <c r="L6" i="1"/>
  <c r="M6" i="1"/>
  <c r="N6" i="1"/>
  <c r="O6" i="1"/>
  <c r="L5" i="1"/>
  <c r="M5" i="1"/>
  <c r="N5" i="1"/>
  <c r="O5" i="1"/>
  <c r="K5" i="1"/>
  <c r="L19" i="7"/>
  <c r="K19" i="7"/>
  <c r="L18" i="7"/>
  <c r="K18" i="7"/>
  <c r="L14" i="7"/>
  <c r="K14" i="7"/>
  <c r="L13" i="7"/>
  <c r="K13" i="7"/>
  <c r="L12" i="7"/>
  <c r="L11" i="7"/>
  <c r="K12" i="7"/>
  <c r="K11" i="7"/>
  <c r="L8" i="7"/>
  <c r="K8" i="7"/>
  <c r="L7" i="7"/>
  <c r="K7" i="7"/>
  <c r="L6" i="7"/>
  <c r="K6" i="7"/>
  <c r="L5" i="7"/>
  <c r="K5" i="7"/>
  <c r="L4" i="7"/>
  <c r="K4" i="7"/>
  <c r="O28" i="1"/>
  <c r="L28" i="1"/>
  <c r="K28" i="1"/>
  <c r="L35" i="1"/>
  <c r="K35" i="1"/>
  <c r="K7" i="1"/>
  <c r="L26" i="1"/>
  <c r="L2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O26" i="1"/>
  <c r="O27" i="1"/>
  <c r="L49" i="1"/>
  <c r="K49" i="1"/>
  <c r="L42" i="1"/>
  <c r="K42" i="1"/>
  <c r="L56" i="1"/>
  <c r="K56" i="1"/>
  <c r="L55" i="1"/>
  <c r="K55" i="1"/>
  <c r="L41" i="1"/>
  <c r="K41" i="1"/>
  <c r="K48" i="1"/>
  <c r="L34" i="1"/>
  <c r="K34" i="1"/>
  <c r="L48" i="1"/>
  <c r="L47" i="1"/>
  <c r="K47" i="1"/>
  <c r="L54" i="1"/>
  <c r="K54" i="1"/>
  <c r="L40" i="1"/>
  <c r="K40" i="1"/>
  <c r="L33" i="1"/>
  <c r="K33" i="1"/>
  <c r="L46" i="1"/>
  <c r="K46" i="1"/>
  <c r="L53" i="1"/>
  <c r="K53" i="1"/>
  <c r="L39" i="1"/>
  <c r="K39" i="1"/>
  <c r="K32" i="1"/>
  <c r="L32" i="1"/>
  <c r="K27" i="1"/>
  <c r="K26" i="1"/>
  <c r="K6" i="1"/>
  <c r="K4" i="1"/>
</calcChain>
</file>

<file path=xl/sharedStrings.xml><?xml version="1.0" encoding="utf-8"?>
<sst xmlns="http://schemas.openxmlformats.org/spreadsheetml/2006/main" count="527" uniqueCount="45">
  <si>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</si>
  <si>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</si>
  <si>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</si>
  <si>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</si>
  <si>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</si>
  <si>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</si>
  <si>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</si>
  <si>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</si>
  <si>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</si>
  <si>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</si>
  <si>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</si>
  <si>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</si>
  <si>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</si>
  <si>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</si>
  <si>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</si>
  <si>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</si>
  <si>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</si>
  <si>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</si>
  <si>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</si>
  <si>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</si>
  <si>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</si>
  <si>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</si>
  <si>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</si>
  <si>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</si>
  <si>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</si>
  <si>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</si>
  <si>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Elapsed Time for VMM</t>
  </si>
  <si>
    <t>AlOx-HfO2 (bcsstk02)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</si>
  <si>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</si>
  <si>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</si>
  <si>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</si>
  <si>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</si>
  <si>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</si>
  <si>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</si>
  <si>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Decentralized Computation (Large-scale); 
Fixed Number of Iterations for Error Correction; 
Aplied Error Correction to all devices
Run 10 replications for each number of iterations</t>
  </si>
  <si>
    <t>email-Eu-core-temporal</t>
  </si>
  <si>
    <t>Ag-aSi (email-Eu-core-temporal)</t>
  </si>
  <si>
    <t>N = 20</t>
  </si>
  <si>
    <t>N = 50</t>
  </si>
  <si>
    <t>AlOx-HfO2 (email-Eu-core-temporal)</t>
  </si>
  <si>
    <t>EpiRAM (email-Eu-core-temporal)</t>
  </si>
  <si>
    <t>TaOx-HfOx (email-Eu-core-temporal)</t>
  </si>
  <si>
    <t>N=50</t>
  </si>
  <si>
    <t>Centralized Computation (Small-scale); 
Fixed Number of Iterations for Error Correction; 
Only applied Error Correction on Worst Device (a.k.a. excluding EpiRAM):
Run 5 replications for each number of iterations</t>
  </si>
  <si>
    <t>TaOx-HfOx (bcsstk02)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</si>
</sst>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6" formatCode="0.0000E+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0" fontId="0" fillId="4" borderId="1" xfId="0" applyFill="1" applyBorder="1"/>
    <xf numFmtId="0" fontId="0" fillId="4" borderId="4" xfId="0" applyFill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 wrapText="1"/>
    </xf>
    <xf numFmtId="166" fontId="0" fillId="0" borderId="1" xfId="0" applyNumberFormat="1" applyBorder="1"/>
    <xf numFmtId="166" fontId="0" fillId="3" borderId="1" xfId="0" applyNumberFormat="1" applyFill="1" applyBorder="1"/>
    <xf numFmtId="166" fontId="0" fillId="0" borderId="0" xfId="0" applyNumberFormat="1"/>
    <xf numFmtId="0" fontId="1" fillId="0" borderId="1" xfId="0" applyFont="1" applyFill="1" applyBorder="1" applyAlignment="1">
      <alignment horizontal="center" vertical="center" wrapText="1"/>
    </xf>
    <xf numFmtId="164" fontId="1" fillId="0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Fill="1" applyBorder="1"/>
    <xf numFmtId="0" fontId="0" fillId="0" borderId="6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0" xfId="0" applyFill="1"/>
    <xf numFmtId="166" fontId="1" fillId="0" borderId="1" xfId="0" applyNumberFormat="1" applyFont="1" applyFill="1" applyBorder="1" applyAlignment="1">
      <alignment horizontal="center" vertical="center" wrapText="1"/>
    </xf>
    <xf numFmtId="166" fontId="0" fillId="0" borderId="1" xfId="0" applyNumberFormat="1" applyFill="1" applyBorder="1"/>
    <xf numFmtId="166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N35"/>
  <sheetViews>
    <sheetView tabSelected="1" topLeftCell="A6" zoomScaleNormal="100" workbookViewId="0">
      <selection activeCell="F26" sqref="F26"/>
    </sheetView>
  </sheetViews>
  <sheetFormatPr defaultColWidth="8.85546875" defaultRowHeight="15" x14ac:dyDescent="0.25"/>
  <cols>
    <col min="2" max="2" width="9.140625" bestFit="1" customWidth="1"/>
    <col min="3" max="3" width="10.85546875" bestFit="1" customWidth="1"/>
    <col min="4" max="4" width="11" bestFit="1" customWidth="1"/>
    <col min="5" max="5" width="12.5703125" style="63" bestFit="1" customWidth="1"/>
    <col min="6" max="7" width="12" bestFit="1" customWidth="1"/>
    <col min="8" max="8" width="12.42578125" bestFit="1" customWidth="1"/>
    <col min="9" max="9" width="10.5703125" bestFit="1" customWidth="1"/>
    <col min="10" max="10" width="12.5703125" style="63" bestFit="1" customWidth="1"/>
    <col min="11" max="11" width="8.140625" customWidth="1"/>
    <col min="12" max="12" width="10.28515625" bestFit="1" customWidth="1"/>
    <col min="15" max="15" width="12.5703125" style="63" bestFit="1" customWidth="1"/>
    <col min="19" max="19" width="10.5703125" bestFit="1" customWidth="1"/>
    <col min="20" max="20" width="12.5703125" style="63" bestFit="1" customWidth="1"/>
    <col min="21" max="21" width="8.140625" bestFit="1" customWidth="1"/>
    <col min="22" max="23" width="8.140625" customWidth="1"/>
    <col min="24" max="24" width="10.5703125" bestFit="1" customWidth="1"/>
    <col min="25" max="25" width="12.5703125" style="63" bestFit="1" customWidth="1"/>
    <col min="26" max="28" width="8.140625" customWidth="1"/>
    <col min="29" max="29" width="10.5703125" bestFit="1" customWidth="1"/>
    <col min="30" max="30" width="12.5703125" style="63" bestFit="1" customWidth="1"/>
    <col min="31" max="31" width="10.140625" customWidth="1"/>
    <col min="32" max="33" width="8.85546875" customWidth="1"/>
    <col min="34" max="34" width="9.42578125" bestFit="1" customWidth="1"/>
    <col min="35" max="35" width="12.5703125" style="63" bestFit="1" customWidth="1"/>
    <col min="36" max="39" width="8.85546875" customWidth="1"/>
  </cols>
  <sheetData>
    <row r="1" spans="2:40" x14ac:dyDescent="0.25">
      <c r="B1" s="40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spans="2:40" x14ac:dyDescent="0.25">
      <c r="B2" s="33" t="s">
        <v>19</v>
      </c>
      <c r="C2" s="34"/>
      <c r="D2" s="34"/>
      <c r="E2" s="34"/>
      <c r="F2" s="35"/>
      <c r="G2" s="70" t="s">
        <v>21</v>
      </c>
      <c r="H2" s="71"/>
      <c r="I2" s="71"/>
      <c r="J2" s="71"/>
      <c r="K2" s="72"/>
      <c r="L2" s="36" t="s">
        <v>22</v>
      </c>
      <c r="M2" s="37"/>
      <c r="N2" s="37"/>
      <c r="O2" s="37"/>
      <c r="P2" s="38"/>
      <c r="Q2" s="75" t="s">
        <v>16</v>
      </c>
      <c r="R2" s="76"/>
      <c r="S2" s="76"/>
      <c r="T2" s="76"/>
      <c r="U2" s="77"/>
      <c r="V2" s="67" t="s">
        <v>37</v>
      </c>
      <c r="W2" s="68"/>
      <c r="X2" s="68"/>
      <c r="Y2" s="68"/>
      <c r="Z2" s="69"/>
      <c r="AA2" s="75" t="s">
        <v>42</v>
      </c>
      <c r="AB2" s="76"/>
      <c r="AC2" s="76"/>
      <c r="AD2" s="76"/>
      <c r="AE2" s="77"/>
      <c r="AF2" s="67" t="s">
        <v>31</v>
      </c>
      <c r="AG2" s="68"/>
      <c r="AH2" s="68"/>
      <c r="AI2" s="68"/>
      <c r="AJ2" s="69"/>
      <c r="AN2" s="21"/>
    </row>
    <row r="3" spans="2:40" ht="60" x14ac:dyDescent="0.25">
      <c r="B3" s="2" t="s">
        <v>20</v>
      </c>
      <c r="C3" s="2" t="s">
        <v>9</v>
      </c>
      <c r="D3" s="13" t="s">
        <v>10</v>
      </c>
      <c r="E3" s="60" t="s">
        <v>23</v>
      </c>
      <c r="F3" s="2" t="s">
        <v>26</v>
      </c>
      <c r="G3" s="73" t="s">
        <v>20</v>
      </c>
      <c r="H3" s="73" t="s">
        <v>9</v>
      </c>
      <c r="I3" s="74" t="s">
        <v>10</v>
      </c>
      <c r="J3" s="81" t="s">
        <v>23</v>
      </c>
      <c r="K3" s="73" t="s">
        <v>26</v>
      </c>
      <c r="L3" s="2" t="s">
        <v>20</v>
      </c>
      <c r="M3" s="2" t="s">
        <v>9</v>
      </c>
      <c r="N3" s="13" t="s">
        <v>10</v>
      </c>
      <c r="O3" s="60" t="s">
        <v>23</v>
      </c>
      <c r="P3" s="2" t="s">
        <v>26</v>
      </c>
      <c r="Q3" s="73" t="s">
        <v>20</v>
      </c>
      <c r="R3" s="73" t="s">
        <v>9</v>
      </c>
      <c r="S3" s="74" t="s">
        <v>10</v>
      </c>
      <c r="T3" s="81" t="s">
        <v>23</v>
      </c>
      <c r="U3" s="73" t="s">
        <v>26</v>
      </c>
      <c r="V3" s="64" t="s">
        <v>20</v>
      </c>
      <c r="W3" s="64" t="s">
        <v>9</v>
      </c>
      <c r="X3" s="65" t="s">
        <v>10</v>
      </c>
      <c r="Y3" s="79" t="s">
        <v>23</v>
      </c>
      <c r="Z3" s="64" t="s">
        <v>26</v>
      </c>
      <c r="AA3" s="73" t="s">
        <v>20</v>
      </c>
      <c r="AB3" s="73" t="s">
        <v>9</v>
      </c>
      <c r="AC3" s="74" t="s">
        <v>10</v>
      </c>
      <c r="AD3" s="81" t="s">
        <v>23</v>
      </c>
      <c r="AE3" s="73" t="s">
        <v>26</v>
      </c>
      <c r="AF3" s="64" t="s">
        <v>20</v>
      </c>
      <c r="AG3" s="64" t="s">
        <v>9</v>
      </c>
      <c r="AH3" s="65" t="s">
        <v>10</v>
      </c>
      <c r="AI3" s="79" t="s">
        <v>23</v>
      </c>
      <c r="AJ3" s="64" t="s">
        <v>26</v>
      </c>
      <c r="AN3" s="26"/>
    </row>
    <row r="4" spans="2:40" x14ac:dyDescent="0.25">
      <c r="B4" s="4">
        <v>48.405375675691097</v>
      </c>
      <c r="C4" s="4">
        <v>6.5012371172426899</v>
      </c>
      <c r="D4" s="3">
        <v>280.77705301382201</v>
      </c>
      <c r="E4" s="61">
        <v>1.2426647422269399E-3</v>
      </c>
      <c r="F4" s="4">
        <v>2.2200264930725</v>
      </c>
      <c r="G4" s="14">
        <v>21.845976498047101</v>
      </c>
      <c r="H4" s="14">
        <v>3.1394863269662001</v>
      </c>
      <c r="I4" s="14">
        <v>390.73335904146597</v>
      </c>
      <c r="J4" s="62">
        <v>1.832339402181E-3</v>
      </c>
      <c r="K4" s="14">
        <v>2.0940070152282702</v>
      </c>
      <c r="L4" s="4">
        <v>11.761521569533301</v>
      </c>
      <c r="M4" s="4">
        <v>1.9688228073263601</v>
      </c>
      <c r="N4" s="3">
        <v>429.57061506911401</v>
      </c>
      <c r="O4" s="61">
        <v>2.0074486690417098E-3</v>
      </c>
      <c r="P4" s="4">
        <v>2.2919952869415199</v>
      </c>
      <c r="Q4" s="14">
        <v>1.3352137478383499</v>
      </c>
      <c r="R4" s="14">
        <v>0.406855348292328</v>
      </c>
      <c r="S4" s="14">
        <v>445.815930138228</v>
      </c>
      <c r="T4" s="62">
        <v>2.0439141245455999E-3</v>
      </c>
      <c r="U4" s="14">
        <v>2.48293805122375</v>
      </c>
      <c r="V4" s="66">
        <v>1.1829448733229999</v>
      </c>
      <c r="W4" s="66">
        <v>0.399074998842888</v>
      </c>
      <c r="X4" s="66">
        <v>455.82186027645298</v>
      </c>
      <c r="Y4" s="80">
        <v>2.0637462472429401E-3</v>
      </c>
      <c r="Z4" s="66">
        <v>2.5318367481231601</v>
      </c>
      <c r="AA4" s="14">
        <v>1.2670240627015099</v>
      </c>
      <c r="AB4" s="14">
        <v>0.36013391316391002</v>
      </c>
      <c r="AC4" s="14">
        <v>460.27455069113802</v>
      </c>
      <c r="AD4" s="62">
        <v>2.0913029695989599E-3</v>
      </c>
      <c r="AE4" s="14">
        <v>3.1150028705596902</v>
      </c>
      <c r="AF4" s="66">
        <v>1.16738408109867</v>
      </c>
      <c r="AG4" s="66">
        <v>0.35890658938874798</v>
      </c>
      <c r="AH4" s="66">
        <v>458.095951382274</v>
      </c>
      <c r="AI4" s="80">
        <v>2.1146609841073698E-3</v>
      </c>
      <c r="AJ4" s="66">
        <v>4.3998079299926696</v>
      </c>
    </row>
    <row r="5" spans="2:40" x14ac:dyDescent="0.25">
      <c r="B5" s="4">
        <v>48.544182751545002</v>
      </c>
      <c r="C5" s="4">
        <v>6.61081915851421</v>
      </c>
      <c r="D5" s="3">
        <v>280.77705301382201</v>
      </c>
      <c r="E5" s="61">
        <v>1.2423680427653E-3</v>
      </c>
      <c r="F5" s="4">
        <v>2.3025550842285099</v>
      </c>
      <c r="G5" s="14">
        <v>22.1096661866987</v>
      </c>
      <c r="H5" s="14">
        <v>3.4227543764569699</v>
      </c>
      <c r="I5" s="14">
        <v>391.11195904146803</v>
      </c>
      <c r="J5" s="62">
        <v>1.8332875869532599E-3</v>
      </c>
      <c r="K5" s="14">
        <v>2.16101646423339</v>
      </c>
      <c r="L5" s="4">
        <v>11.8937322488196</v>
      </c>
      <c r="M5" s="4">
        <v>2.10011621560803</v>
      </c>
      <c r="N5" s="3">
        <v>429.74971506911402</v>
      </c>
      <c r="O5" s="61">
        <v>2.0082558212510199E-3</v>
      </c>
      <c r="P5" s="4">
        <v>1.99571061134338</v>
      </c>
      <c r="Q5" s="14">
        <v>2.2105761733349598</v>
      </c>
      <c r="R5" s="14">
        <v>0.578478000606228</v>
      </c>
      <c r="S5" s="14">
        <v>456.20403013822698</v>
      </c>
      <c r="T5" s="62">
        <v>2.0599180774274199E-3</v>
      </c>
      <c r="U5" s="14">
        <v>2.3609910011291499</v>
      </c>
      <c r="V5" s="66">
        <v>1.1341129117536199</v>
      </c>
      <c r="W5" s="66">
        <v>0.38645738940860103</v>
      </c>
      <c r="X5" s="66">
        <v>445.07466027645501</v>
      </c>
      <c r="Y5" s="80">
        <v>2.0497697482144599E-3</v>
      </c>
      <c r="Z5" s="66">
        <v>2.5911741256713801</v>
      </c>
      <c r="AA5" s="14">
        <v>1.9421080254182499</v>
      </c>
      <c r="AB5" s="14">
        <v>0.51635459157661501</v>
      </c>
      <c r="AC5" s="14">
        <v>449.302950691136</v>
      </c>
      <c r="AD5" s="62">
        <v>2.0859871857910901E-3</v>
      </c>
      <c r="AE5" s="14">
        <v>3.10551762580871</v>
      </c>
      <c r="AF5" s="66">
        <v>1.0903015325565799</v>
      </c>
      <c r="AG5" s="66">
        <v>0.373692923687102</v>
      </c>
      <c r="AH5" s="66">
        <v>453.036001382275</v>
      </c>
      <c r="AI5" s="80">
        <v>2.0849598628704499E-3</v>
      </c>
      <c r="AJ5" s="66">
        <v>4.2901444435119602</v>
      </c>
    </row>
    <row r="6" spans="2:40" x14ac:dyDescent="0.25">
      <c r="B6" s="4">
        <v>49.038547006529797</v>
      </c>
      <c r="C6" s="4">
        <v>6.75299143642901</v>
      </c>
      <c r="D6" s="3">
        <v>280.77705301382201</v>
      </c>
      <c r="E6" s="61">
        <v>1.2444118717866101E-3</v>
      </c>
      <c r="F6" s="4">
        <v>2.2122399806976301</v>
      </c>
      <c r="G6" s="14">
        <v>22.1539076692724</v>
      </c>
      <c r="H6" s="14">
        <v>3.3333766014529802</v>
      </c>
      <c r="I6" s="14">
        <v>393.00405904146697</v>
      </c>
      <c r="J6" s="62">
        <v>1.8425506799710999E-3</v>
      </c>
      <c r="K6" s="14">
        <v>1.97678470611572</v>
      </c>
      <c r="L6" s="4">
        <v>12.0286745421155</v>
      </c>
      <c r="M6" s="4">
        <v>1.9953560590221</v>
      </c>
      <c r="N6" s="3">
        <v>428.942865069113</v>
      </c>
      <c r="O6" s="61">
        <v>2.0055728581899399E-3</v>
      </c>
      <c r="P6" s="4">
        <v>2.4549810886382999</v>
      </c>
      <c r="Q6" s="14">
        <v>1.88592651043391</v>
      </c>
      <c r="R6" s="14">
        <v>0.574165526694566</v>
      </c>
      <c r="S6" s="14">
        <v>452.44893013822798</v>
      </c>
      <c r="T6" s="62">
        <v>2.0656273401431198E-3</v>
      </c>
      <c r="U6" s="14">
        <v>2.21172642707824</v>
      </c>
      <c r="V6" s="66">
        <v>1.17934098569572</v>
      </c>
      <c r="W6" s="66">
        <v>0.33143758702708198</v>
      </c>
      <c r="X6" s="66">
        <v>456.26781027645302</v>
      </c>
      <c r="Y6" s="80">
        <v>2.0669548454960102E-3</v>
      </c>
      <c r="Z6" s="66">
        <v>2.4619610309600799</v>
      </c>
      <c r="AA6" s="14">
        <v>2.2144552271154598</v>
      </c>
      <c r="AB6" s="14">
        <v>0.58196221449352203</v>
      </c>
      <c r="AC6" s="14">
        <v>459.053700691139</v>
      </c>
      <c r="AD6" s="62">
        <v>2.0826490536814202E-3</v>
      </c>
      <c r="AE6" s="14">
        <v>2.9935326576232901</v>
      </c>
      <c r="AF6" s="66">
        <v>1.18071296472814</v>
      </c>
      <c r="AG6" s="66">
        <v>0.36546240200688701</v>
      </c>
      <c r="AH6" s="66">
        <v>451.871851382275</v>
      </c>
      <c r="AI6" s="80">
        <v>2.0796577274464099E-3</v>
      </c>
      <c r="AJ6" s="66">
        <v>3.93764972686767</v>
      </c>
    </row>
    <row r="7" spans="2:40" x14ac:dyDescent="0.25">
      <c r="B7" s="4">
        <v>43.487215227182297</v>
      </c>
      <c r="C7" s="4">
        <v>6.2384246540691803</v>
      </c>
      <c r="D7" s="3">
        <v>280.77705301382201</v>
      </c>
      <c r="E7" s="61">
        <v>1.24177464384202E-3</v>
      </c>
      <c r="F7" s="4">
        <v>1.8635902404785101</v>
      </c>
      <c r="G7" s="14">
        <v>21.2619056021665</v>
      </c>
      <c r="H7" s="14">
        <v>3.0833855658172098</v>
      </c>
      <c r="I7" s="14">
        <v>390.03645904146703</v>
      </c>
      <c r="J7" s="62">
        <v>1.82915892433048E-3</v>
      </c>
      <c r="K7" s="14">
        <v>2.2423460483550999</v>
      </c>
      <c r="L7" s="4">
        <v>12.0525202116592</v>
      </c>
      <c r="M7" s="4">
        <v>1.98805702774946</v>
      </c>
      <c r="N7" s="3">
        <v>429.54931506911299</v>
      </c>
      <c r="O7" s="61">
        <v>2.0109965585241199E-3</v>
      </c>
      <c r="P7" s="4">
        <v>2.40798759460449</v>
      </c>
      <c r="Q7" s="14">
        <v>1.3848403355877701</v>
      </c>
      <c r="R7" s="14">
        <v>0.41059123494564498</v>
      </c>
      <c r="S7" s="14">
        <v>446.15463013822603</v>
      </c>
      <c r="T7" s="62">
        <v>2.0458236362095299E-3</v>
      </c>
      <c r="U7" s="14">
        <v>2.19571828842163</v>
      </c>
      <c r="V7" s="66">
        <v>1.1135811439341801</v>
      </c>
      <c r="W7" s="66">
        <v>0.33484981320993101</v>
      </c>
      <c r="X7" s="66">
        <v>463.96941027645499</v>
      </c>
      <c r="Y7" s="80">
        <v>2.06742927060437E-3</v>
      </c>
      <c r="Z7" s="66">
        <v>2.72619199752807</v>
      </c>
      <c r="AA7" s="14">
        <v>1.9260216662655201</v>
      </c>
      <c r="AB7" s="14">
        <v>0.52223125868570996</v>
      </c>
      <c r="AC7" s="14">
        <v>445.01160069113701</v>
      </c>
      <c r="AD7" s="62">
        <v>2.0738130715497699E-3</v>
      </c>
      <c r="AE7" s="14">
        <v>3.0592045783996502</v>
      </c>
      <c r="AF7" s="66">
        <v>1.1272064624118801</v>
      </c>
      <c r="AG7" s="66">
        <v>0.39454568341471902</v>
      </c>
      <c r="AH7" s="66">
        <v>452.23890138227802</v>
      </c>
      <c r="AI7" s="80">
        <v>2.08246416787376E-3</v>
      </c>
      <c r="AJ7" s="66">
        <v>3.89451599121093</v>
      </c>
    </row>
    <row r="8" spans="2:40" x14ac:dyDescent="0.25">
      <c r="B8" s="4">
        <v>48.887283245854697</v>
      </c>
      <c r="C8" s="4">
        <v>6.7488675397996802</v>
      </c>
      <c r="D8" s="3">
        <v>280.77705301382201</v>
      </c>
      <c r="E8" s="61">
        <v>1.24147794438038E-3</v>
      </c>
      <c r="F8" s="4">
        <v>2.1537320613861</v>
      </c>
      <c r="G8" s="14">
        <v>21.9113028000504</v>
      </c>
      <c r="H8" s="14">
        <v>3.1442255855738499</v>
      </c>
      <c r="I8" s="14">
        <v>390.73335904146597</v>
      </c>
      <c r="J8" s="62">
        <v>1.83232660308975E-3</v>
      </c>
      <c r="K8" s="14">
        <v>2.4188923835754301</v>
      </c>
      <c r="L8" s="4">
        <v>12.212791561953701</v>
      </c>
      <c r="M8" s="4">
        <v>2.02232117040485</v>
      </c>
      <c r="N8" s="3">
        <v>429.57061506911401</v>
      </c>
      <c r="O8" s="61">
        <v>2.0074786582290598E-3</v>
      </c>
      <c r="P8" s="4">
        <v>2.4520344734191801</v>
      </c>
      <c r="Q8" s="14">
        <v>1.1210564613304299</v>
      </c>
      <c r="R8" s="14">
        <v>0.38142930692102001</v>
      </c>
      <c r="S8" s="14">
        <v>441.88533013822598</v>
      </c>
      <c r="T8" s="62">
        <v>2.0443423165018202E-3</v>
      </c>
      <c r="U8" s="14">
        <v>2.12239217758178</v>
      </c>
      <c r="V8" s="66">
        <v>1.2980958898952599</v>
      </c>
      <c r="W8" s="66">
        <v>0.37077353542543101</v>
      </c>
      <c r="X8" s="66">
        <v>464.41806027645498</v>
      </c>
      <c r="Y8" s="80">
        <v>2.06916063412581E-3</v>
      </c>
      <c r="Z8" s="66">
        <v>2.48653817176818</v>
      </c>
      <c r="AA8" s="14">
        <v>1.11002893694585</v>
      </c>
      <c r="AB8" s="14">
        <v>0.372136820420848</v>
      </c>
      <c r="AC8" s="14">
        <v>451.057800691137</v>
      </c>
      <c r="AD8" s="62">
        <v>2.0726876850760399E-3</v>
      </c>
      <c r="AE8" s="14">
        <v>2.8059625625610298</v>
      </c>
      <c r="AF8" s="66">
        <v>1.2381096128108899</v>
      </c>
      <c r="AG8" s="66">
        <v>0.34792243681192703</v>
      </c>
      <c r="AH8" s="66">
        <v>464.89035138227399</v>
      </c>
      <c r="AI8" s="80">
        <v>2.1306026601287699E-3</v>
      </c>
      <c r="AJ8" s="66">
        <v>3.9945855140686</v>
      </c>
    </row>
    <row r="9" spans="2:40" x14ac:dyDescent="0.25">
      <c r="B9" s="7"/>
      <c r="C9" s="7"/>
      <c r="D9" s="7"/>
      <c r="F9" s="7"/>
    </row>
    <row r="10" spans="2:40" x14ac:dyDescent="0.25">
      <c r="B10" s="40" t="s">
        <v>27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2:40" x14ac:dyDescent="0.25">
      <c r="B11" s="33" t="s">
        <v>19</v>
      </c>
      <c r="C11" s="34"/>
      <c r="D11" s="34"/>
      <c r="E11" s="34"/>
      <c r="F11" s="35"/>
      <c r="G11" s="70" t="s">
        <v>21</v>
      </c>
      <c r="H11" s="71"/>
      <c r="I11" s="71"/>
      <c r="J11" s="71"/>
      <c r="K11" s="72"/>
      <c r="L11" s="36" t="s">
        <v>22</v>
      </c>
      <c r="M11" s="37"/>
      <c r="N11" s="37"/>
      <c r="O11" s="37"/>
      <c r="P11" s="38"/>
      <c r="Q11" s="75" t="s">
        <v>16</v>
      </c>
      <c r="R11" s="76"/>
      <c r="S11" s="76"/>
      <c r="T11" s="76"/>
      <c r="U11" s="77"/>
      <c r="V11" s="67" t="s">
        <v>37</v>
      </c>
      <c r="W11" s="68"/>
      <c r="X11" s="68"/>
      <c r="Y11" s="68"/>
      <c r="Z11" s="69"/>
      <c r="AA11" s="75" t="s">
        <v>42</v>
      </c>
      <c r="AB11" s="76"/>
      <c r="AC11" s="76"/>
      <c r="AD11" s="76"/>
      <c r="AE11" s="77"/>
      <c r="AF11" s="67" t="s">
        <v>31</v>
      </c>
      <c r="AG11" s="68"/>
      <c r="AH11" s="68"/>
      <c r="AI11" s="68"/>
      <c r="AJ11" s="69"/>
    </row>
    <row r="12" spans="2:40" ht="60" x14ac:dyDescent="0.25">
      <c r="B12" s="2" t="s">
        <v>20</v>
      </c>
      <c r="C12" s="2" t="s">
        <v>9</v>
      </c>
      <c r="D12" s="13" t="s">
        <v>10</v>
      </c>
      <c r="E12" s="60" t="s">
        <v>23</v>
      </c>
      <c r="F12" s="2" t="s">
        <v>26</v>
      </c>
      <c r="G12" s="73" t="s">
        <v>20</v>
      </c>
      <c r="H12" s="73" t="s">
        <v>9</v>
      </c>
      <c r="I12" s="74" t="s">
        <v>10</v>
      </c>
      <c r="J12" s="81" t="s">
        <v>23</v>
      </c>
      <c r="K12" s="73" t="s">
        <v>26</v>
      </c>
      <c r="L12" s="2" t="s">
        <v>20</v>
      </c>
      <c r="M12" s="2" t="s">
        <v>9</v>
      </c>
      <c r="N12" s="13" t="s">
        <v>10</v>
      </c>
      <c r="O12" s="60" t="s">
        <v>23</v>
      </c>
      <c r="P12" s="2" t="s">
        <v>26</v>
      </c>
      <c r="Q12" s="73" t="s">
        <v>20</v>
      </c>
      <c r="R12" s="73" t="s">
        <v>9</v>
      </c>
      <c r="S12" s="74" t="s">
        <v>10</v>
      </c>
      <c r="T12" s="81" t="s">
        <v>23</v>
      </c>
      <c r="U12" s="73" t="s">
        <v>26</v>
      </c>
      <c r="V12" s="64" t="s">
        <v>20</v>
      </c>
      <c r="W12" s="64" t="s">
        <v>9</v>
      </c>
      <c r="X12" s="65" t="s">
        <v>10</v>
      </c>
      <c r="Y12" s="79" t="s">
        <v>23</v>
      </c>
      <c r="Z12" s="64" t="s">
        <v>26</v>
      </c>
      <c r="AA12" s="73" t="s">
        <v>20</v>
      </c>
      <c r="AB12" s="73" t="s">
        <v>9</v>
      </c>
      <c r="AC12" s="74" t="s">
        <v>10</v>
      </c>
      <c r="AD12" s="81" t="s">
        <v>23</v>
      </c>
      <c r="AE12" s="73" t="s">
        <v>26</v>
      </c>
      <c r="AF12" s="64" t="s">
        <v>20</v>
      </c>
      <c r="AG12" s="64" t="s">
        <v>9</v>
      </c>
      <c r="AH12" s="65" t="s">
        <v>10</v>
      </c>
      <c r="AI12" s="79" t="s">
        <v>23</v>
      </c>
      <c r="AJ12" s="64" t="s">
        <v>26</v>
      </c>
    </row>
    <row r="13" spans="2:40" x14ac:dyDescent="0.25">
      <c r="B13" s="4">
        <v>97.996820764793895</v>
      </c>
      <c r="C13" s="4">
        <v>12.857806855344</v>
      </c>
      <c r="D13" s="3">
        <v>38.8018530138228</v>
      </c>
      <c r="E13" s="61">
        <v>1.8313175473446699E-2</v>
      </c>
      <c r="F13" s="4">
        <v>2.08372926712036</v>
      </c>
      <c r="G13" s="14">
        <v>1.9896207511591399</v>
      </c>
      <c r="H13" s="14">
        <v>0.50061643236653097</v>
      </c>
      <c r="I13" s="14">
        <v>73.284409041468194</v>
      </c>
      <c r="J13" s="62">
        <v>3.8994966839365201E-2</v>
      </c>
      <c r="K13" s="14">
        <v>2.2478783130645699</v>
      </c>
      <c r="L13" s="4">
        <v>4.5773182646587696</v>
      </c>
      <c r="M13" s="4">
        <v>0.91697726695007997</v>
      </c>
      <c r="N13" s="3">
        <v>75.286565069113806</v>
      </c>
      <c r="O13" s="61">
        <v>4.0256479690962001E-2</v>
      </c>
      <c r="P13" s="4">
        <v>2.18189144134521</v>
      </c>
      <c r="Q13" s="14">
        <v>4.7144055713789399</v>
      </c>
      <c r="R13" s="14">
        <v>0.93996263667421298</v>
      </c>
      <c r="S13" s="14">
        <v>75.545080138227704</v>
      </c>
      <c r="T13" s="62">
        <v>4.0608116963391901E-2</v>
      </c>
      <c r="U13" s="14">
        <v>2.44974660873413</v>
      </c>
      <c r="V13" s="66">
        <v>4.8169352248984696</v>
      </c>
      <c r="W13" s="66">
        <v>1.03204958653325</v>
      </c>
      <c r="X13" s="66">
        <v>75.608660276455197</v>
      </c>
      <c r="Y13" s="80">
        <v>4.0527248269369903E-2</v>
      </c>
      <c r="Z13" s="66">
        <v>2.56579136848449</v>
      </c>
      <c r="AA13" s="14">
        <v>2.70787209595195</v>
      </c>
      <c r="AB13" s="14">
        <v>0.71523256624680398</v>
      </c>
      <c r="AC13" s="14">
        <v>75.365400691138404</v>
      </c>
      <c r="AD13" s="62">
        <v>4.0554784230403498E-2</v>
      </c>
      <c r="AE13" s="14">
        <v>3.10210061073303</v>
      </c>
      <c r="AF13" s="66">
        <v>6.6956419073976097</v>
      </c>
      <c r="AG13" s="66">
        <v>1.35440971359411</v>
      </c>
      <c r="AH13" s="66">
        <v>77.501151382277001</v>
      </c>
      <c r="AI13" s="80">
        <v>4.2091459109702398E-2</v>
      </c>
      <c r="AJ13" s="66">
        <v>4.2037107944488499</v>
      </c>
    </row>
    <row r="14" spans="2:40" x14ac:dyDescent="0.25">
      <c r="B14" s="4">
        <v>94.688350920336305</v>
      </c>
      <c r="C14" s="4">
        <v>12.770237642149199</v>
      </c>
      <c r="D14" s="3">
        <v>38.8018530138228</v>
      </c>
      <c r="E14" s="61">
        <v>1.8313175473446699E-2</v>
      </c>
      <c r="F14" s="3">
        <v>2.06532382965087</v>
      </c>
      <c r="G14" s="14">
        <v>5.6400916454171304</v>
      </c>
      <c r="H14" s="14">
        <v>0.96441459380983796</v>
      </c>
      <c r="I14" s="14">
        <v>71.477009041468307</v>
      </c>
      <c r="J14" s="62">
        <v>3.7265885633866097E-2</v>
      </c>
      <c r="K14" s="14">
        <v>2.2695355415344198</v>
      </c>
      <c r="L14" s="4">
        <v>5.2193259532484104</v>
      </c>
      <c r="M14" s="4">
        <v>1.0107984513628701</v>
      </c>
      <c r="N14" s="3">
        <v>75.602615069113796</v>
      </c>
      <c r="O14" s="61">
        <v>4.0260067261321697E-2</v>
      </c>
      <c r="P14" s="4">
        <v>2.0102851390838601</v>
      </c>
      <c r="Q14" s="14">
        <v>6.4349289148434003</v>
      </c>
      <c r="R14" s="14">
        <v>1.33474176237688</v>
      </c>
      <c r="S14" s="14">
        <v>77.550730138227493</v>
      </c>
      <c r="T14" s="62">
        <v>4.2152379579014798E-2</v>
      </c>
      <c r="U14" s="14">
        <v>2.4255056381225502</v>
      </c>
      <c r="V14" s="66">
        <v>4.6786404700233302</v>
      </c>
      <c r="W14" s="66">
        <v>0.94171616841057904</v>
      </c>
      <c r="X14" s="66">
        <v>75.518510276455203</v>
      </c>
      <c r="Y14" s="80">
        <v>4.0606052261504703E-2</v>
      </c>
      <c r="Z14" s="66">
        <v>2.6950168609619101</v>
      </c>
      <c r="AA14" s="14">
        <v>4.6470074685242597</v>
      </c>
      <c r="AB14" s="14">
        <v>0.94297207258322002</v>
      </c>
      <c r="AC14" s="14">
        <v>75.518600691138104</v>
      </c>
      <c r="AD14" s="62">
        <v>4.0606176453202102E-2</v>
      </c>
      <c r="AE14" s="14">
        <v>3.0403451919555602</v>
      </c>
      <c r="AF14" s="66">
        <v>2.8470669593498599</v>
      </c>
      <c r="AG14" s="66">
        <v>0.76356066113789101</v>
      </c>
      <c r="AH14" s="66">
        <v>75.219351382276898</v>
      </c>
      <c r="AI14" s="80">
        <v>4.0552802966253597E-2</v>
      </c>
      <c r="AJ14" s="66">
        <v>4.0056276321411097</v>
      </c>
    </row>
    <row r="15" spans="2:40" x14ac:dyDescent="0.25">
      <c r="B15" s="4">
        <v>100.739848146935</v>
      </c>
      <c r="C15" s="4">
        <v>13.6532986214249</v>
      </c>
      <c r="D15" s="3">
        <v>38.8018530138228</v>
      </c>
      <c r="E15" s="61">
        <v>1.8313175473446699E-2</v>
      </c>
      <c r="F15" s="4">
        <v>1.81722784042358</v>
      </c>
      <c r="G15" s="14">
        <v>4.37193179527066</v>
      </c>
      <c r="H15" s="14">
        <v>0.88990457847598803</v>
      </c>
      <c r="I15" s="14">
        <v>73.102359041468205</v>
      </c>
      <c r="J15" s="62">
        <v>3.8879755317166302E-2</v>
      </c>
      <c r="K15" s="14">
        <v>2.3029403686523402</v>
      </c>
      <c r="L15" s="4">
        <v>6.4286581119793302</v>
      </c>
      <c r="M15" s="4">
        <v>1.2576240221558499</v>
      </c>
      <c r="N15" s="3">
        <v>76.178365069113795</v>
      </c>
      <c r="O15" s="61">
        <v>4.1812025192735802E-2</v>
      </c>
      <c r="P15" s="4">
        <v>2.04269075393676</v>
      </c>
      <c r="Q15" s="14">
        <v>6.7298768091463996</v>
      </c>
      <c r="R15" s="14">
        <v>1.3547177717608301</v>
      </c>
      <c r="S15" s="14">
        <v>77.5008801382277</v>
      </c>
      <c r="T15" s="62">
        <v>4.2090951595853798E-2</v>
      </c>
      <c r="U15" s="14">
        <v>2.3199012279510498</v>
      </c>
      <c r="V15" s="66">
        <v>2.6889884781940498</v>
      </c>
      <c r="W15" s="66">
        <v>0.63557734866359805</v>
      </c>
      <c r="X15" s="66">
        <v>75.219110276455297</v>
      </c>
      <c r="Y15" s="80">
        <v>4.0551775193704502E-2</v>
      </c>
      <c r="Z15" s="66">
        <v>2.6627848148345898</v>
      </c>
      <c r="AA15" s="14">
        <v>2.41643675925723</v>
      </c>
      <c r="AB15" s="14">
        <v>0.66913714731828799</v>
      </c>
      <c r="AC15" s="14">
        <v>75.421250691138397</v>
      </c>
      <c r="AD15" s="62">
        <v>4.0647351826981801E-2</v>
      </c>
      <c r="AE15" s="14">
        <v>3.2617387771606401</v>
      </c>
      <c r="AF15" s="66">
        <v>2.3307098937042299</v>
      </c>
      <c r="AG15" s="66">
        <v>0.49352867320587601</v>
      </c>
      <c r="AH15" s="66">
        <v>75.588301382276796</v>
      </c>
      <c r="AI15" s="80">
        <v>4.0547277265625799E-2</v>
      </c>
      <c r="AJ15" s="66">
        <v>4.0872819423675502</v>
      </c>
    </row>
    <row r="16" spans="2:40" x14ac:dyDescent="0.25">
      <c r="B16" s="4">
        <v>100.378122212953</v>
      </c>
      <c r="C16" s="4">
        <v>13.654370533692401</v>
      </c>
      <c r="D16" s="3">
        <v>38.8018530138228</v>
      </c>
      <c r="E16" s="61">
        <v>1.8313175473446699E-2</v>
      </c>
      <c r="F16" s="4">
        <v>2.01064801216125</v>
      </c>
      <c r="G16" s="14">
        <v>1.9210445366706099</v>
      </c>
      <c r="H16" s="14">
        <v>0.47525591569499398</v>
      </c>
      <c r="I16" s="14">
        <v>73.280859041468304</v>
      </c>
      <c r="J16" s="62">
        <v>3.9008239383358602E-2</v>
      </c>
      <c r="K16" s="14">
        <v>2.3186950683593701</v>
      </c>
      <c r="L16" s="4">
        <v>4.8547848282650499</v>
      </c>
      <c r="M16" s="4">
        <v>0.90377898507002596</v>
      </c>
      <c r="N16" s="3">
        <v>75.110315069113597</v>
      </c>
      <c r="O16" s="61">
        <v>4.02723006679667E-2</v>
      </c>
      <c r="P16" s="4">
        <v>2.2661731243133501</v>
      </c>
      <c r="Q16" s="14">
        <v>2.7311093828477699</v>
      </c>
      <c r="R16" s="14">
        <v>0.71522454954681403</v>
      </c>
      <c r="S16" s="14">
        <v>75.365280138227803</v>
      </c>
      <c r="T16" s="62">
        <v>4.0554723193938401E-2</v>
      </c>
      <c r="U16" s="14">
        <v>2.0072596073150599</v>
      </c>
      <c r="V16" s="66">
        <v>6.79324640747922</v>
      </c>
      <c r="W16" s="66">
        <v>1.29311290195033</v>
      </c>
      <c r="X16" s="66">
        <v>76.692960276455196</v>
      </c>
      <c r="Y16" s="80">
        <v>4.2155793795345002E-2</v>
      </c>
      <c r="Z16" s="66">
        <v>2.5493519306182799</v>
      </c>
      <c r="AA16" s="14">
        <v>2.7785448053666899</v>
      </c>
      <c r="AB16" s="14">
        <v>0.76410567698303899</v>
      </c>
      <c r="AC16" s="14">
        <v>75.219200691138596</v>
      </c>
      <c r="AD16" s="62">
        <v>4.0552262788175801E-2</v>
      </c>
      <c r="AE16" s="14">
        <v>3.1742980480193999</v>
      </c>
      <c r="AF16" s="66">
        <v>3.3416006381902501</v>
      </c>
      <c r="AG16" s="66">
        <v>0.83163335252466497</v>
      </c>
      <c r="AH16" s="66">
        <v>75.272551382276802</v>
      </c>
      <c r="AI16" s="80">
        <v>4.0573162213819701E-2</v>
      </c>
      <c r="AJ16" s="66">
        <v>3.9984769821166899</v>
      </c>
    </row>
    <row r="17" spans="2:36" x14ac:dyDescent="0.25">
      <c r="B17" s="4">
        <v>98.816185006612301</v>
      </c>
      <c r="C17" s="4">
        <v>12.9042673605956</v>
      </c>
      <c r="D17" s="3">
        <v>38.8018530138228</v>
      </c>
      <c r="E17" s="61">
        <v>1.8313175473446699E-2</v>
      </c>
      <c r="F17" s="4">
        <v>2.16168212890625</v>
      </c>
      <c r="G17" s="14">
        <v>4.0246052762043298</v>
      </c>
      <c r="H17" s="14">
        <v>0.80545387812840696</v>
      </c>
      <c r="I17" s="14">
        <v>73.238509041468106</v>
      </c>
      <c r="J17" s="62">
        <v>3.8928413203425098E-2</v>
      </c>
      <c r="K17" s="14">
        <v>2.3394191265106201</v>
      </c>
      <c r="L17" s="4">
        <v>2.3629085828482599</v>
      </c>
      <c r="M17" s="4">
        <v>0.64810860194945896</v>
      </c>
      <c r="N17" s="3">
        <v>74.950415069113703</v>
      </c>
      <c r="O17" s="61">
        <v>4.0250393754105003E-2</v>
      </c>
      <c r="P17" s="4">
        <v>2.31302690505981</v>
      </c>
      <c r="Q17" s="14">
        <v>2.66113172046866</v>
      </c>
      <c r="R17" s="14">
        <v>0.63677796299613798</v>
      </c>
      <c r="S17" s="14">
        <v>75.219080138227596</v>
      </c>
      <c r="T17" s="62">
        <v>4.0551569502204801E-2</v>
      </c>
      <c r="U17" s="14">
        <v>2.3707435131072998</v>
      </c>
      <c r="V17" s="66">
        <v>4.71324269565946</v>
      </c>
      <c r="W17" s="66">
        <v>0.94392780050690905</v>
      </c>
      <c r="X17" s="66">
        <v>75.545110276455205</v>
      </c>
      <c r="Y17" s="80">
        <v>4.0608270349277102E-2</v>
      </c>
      <c r="Z17" s="66">
        <v>2.6408619880676198</v>
      </c>
      <c r="AA17" s="14">
        <v>4.9572737894054599</v>
      </c>
      <c r="AB17" s="14">
        <v>1.01828205629188</v>
      </c>
      <c r="AC17" s="14">
        <v>75.715150691138405</v>
      </c>
      <c r="AD17" s="62">
        <v>4.0532794778183598E-2</v>
      </c>
      <c r="AE17" s="14">
        <v>3.0870699882507302</v>
      </c>
      <c r="AF17" s="66">
        <v>5.0719053064671904</v>
      </c>
      <c r="AG17" s="66">
        <v>1.0501216484814899</v>
      </c>
      <c r="AH17" s="66">
        <v>76.011051382276705</v>
      </c>
      <c r="AI17" s="80">
        <v>4.0587721329767297E-2</v>
      </c>
      <c r="AJ17" s="66">
        <v>4.2727708816528303</v>
      </c>
    </row>
    <row r="19" spans="2:36" x14ac:dyDescent="0.25">
      <c r="B19" s="40" t="s">
        <v>28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2:36" x14ac:dyDescent="0.25">
      <c r="B20" s="33" t="s">
        <v>19</v>
      </c>
      <c r="C20" s="34"/>
      <c r="D20" s="34"/>
      <c r="E20" s="34"/>
      <c r="F20" s="35"/>
      <c r="G20" s="70" t="s">
        <v>21</v>
      </c>
      <c r="H20" s="71"/>
      <c r="I20" s="71"/>
      <c r="J20" s="71"/>
      <c r="K20" s="72"/>
      <c r="L20" s="36" t="s">
        <v>22</v>
      </c>
      <c r="M20" s="37"/>
      <c r="N20" s="37"/>
      <c r="O20" s="37"/>
      <c r="P20" s="38"/>
      <c r="Q20" s="75" t="s">
        <v>16</v>
      </c>
      <c r="R20" s="76"/>
      <c r="S20" s="76"/>
      <c r="T20" s="76"/>
      <c r="U20" s="77"/>
      <c r="V20" s="67" t="s">
        <v>37</v>
      </c>
      <c r="W20" s="68"/>
      <c r="X20" s="68"/>
      <c r="Y20" s="68"/>
      <c r="Z20" s="69"/>
      <c r="AA20" s="75" t="s">
        <v>42</v>
      </c>
      <c r="AB20" s="76"/>
      <c r="AC20" s="76"/>
      <c r="AD20" s="76"/>
      <c r="AE20" s="77"/>
      <c r="AF20" s="67" t="s">
        <v>31</v>
      </c>
      <c r="AG20" s="68"/>
      <c r="AH20" s="68"/>
      <c r="AI20" s="68"/>
      <c r="AJ20" s="69"/>
    </row>
    <row r="21" spans="2:36" ht="60" x14ac:dyDescent="0.25">
      <c r="B21" s="2" t="s">
        <v>20</v>
      </c>
      <c r="C21" s="2" t="s">
        <v>9</v>
      </c>
      <c r="D21" s="13" t="s">
        <v>10</v>
      </c>
      <c r="E21" s="60" t="s">
        <v>23</v>
      </c>
      <c r="F21" s="2" t="s">
        <v>26</v>
      </c>
      <c r="G21" s="73" t="s">
        <v>20</v>
      </c>
      <c r="H21" s="73" t="s">
        <v>9</v>
      </c>
      <c r="I21" s="74" t="s">
        <v>10</v>
      </c>
      <c r="J21" s="81" t="s">
        <v>23</v>
      </c>
      <c r="K21" s="73" t="s">
        <v>26</v>
      </c>
      <c r="L21" s="2" t="s">
        <v>20</v>
      </c>
      <c r="M21" s="2" t="s">
        <v>9</v>
      </c>
      <c r="N21" s="13" t="s">
        <v>10</v>
      </c>
      <c r="O21" s="60" t="s">
        <v>23</v>
      </c>
      <c r="P21" s="2" t="s">
        <v>26</v>
      </c>
      <c r="Q21" s="73" t="s">
        <v>20</v>
      </c>
      <c r="R21" s="73" t="s">
        <v>9</v>
      </c>
      <c r="S21" s="74" t="s">
        <v>10</v>
      </c>
      <c r="T21" s="81" t="s">
        <v>23</v>
      </c>
      <c r="U21" s="73" t="s">
        <v>26</v>
      </c>
      <c r="V21" s="64" t="s">
        <v>20</v>
      </c>
      <c r="W21" s="64" t="s">
        <v>9</v>
      </c>
      <c r="X21" s="65" t="s">
        <v>10</v>
      </c>
      <c r="Y21" s="79" t="s">
        <v>23</v>
      </c>
      <c r="Z21" s="64" t="s">
        <v>26</v>
      </c>
      <c r="AA21" s="73" t="s">
        <v>20</v>
      </c>
      <c r="AB21" s="73" t="s">
        <v>9</v>
      </c>
      <c r="AC21" s="74" t="s">
        <v>10</v>
      </c>
      <c r="AD21" s="81" t="s">
        <v>23</v>
      </c>
      <c r="AE21" s="73" t="s">
        <v>26</v>
      </c>
      <c r="AF21" s="64" t="s">
        <v>20</v>
      </c>
      <c r="AG21" s="64" t="s">
        <v>9</v>
      </c>
      <c r="AH21" s="65" t="s">
        <v>10</v>
      </c>
      <c r="AI21" s="79" t="s">
        <v>23</v>
      </c>
      <c r="AJ21" s="64" t="s">
        <v>26</v>
      </c>
    </row>
    <row r="22" spans="2:36" x14ac:dyDescent="0.25">
      <c r="B22" s="4">
        <v>4.5673914929329396</v>
      </c>
      <c r="C22" s="4">
        <v>0.75511641042661903</v>
      </c>
      <c r="D22" s="3">
        <v>4.4845012962678503E-2</v>
      </c>
      <c r="E22" s="61">
        <v>1.3224448728735801E-4</v>
      </c>
      <c r="F22" s="4">
        <v>0.21188092231750399</v>
      </c>
      <c r="G22" s="14"/>
      <c r="H22" s="14"/>
      <c r="I22" s="14"/>
      <c r="J22" s="62"/>
      <c r="K22" s="14"/>
      <c r="L22" s="4"/>
      <c r="M22" s="4"/>
      <c r="N22" s="3"/>
      <c r="O22" s="61"/>
      <c r="P22" s="4"/>
      <c r="Q22" s="14"/>
      <c r="R22" s="14"/>
      <c r="S22" s="14"/>
      <c r="T22" s="62"/>
      <c r="U22" s="14"/>
      <c r="V22" s="66"/>
      <c r="W22" s="66"/>
      <c r="X22" s="66"/>
      <c r="Y22" s="80"/>
      <c r="Z22" s="66"/>
      <c r="AA22" s="14"/>
      <c r="AB22" s="14"/>
      <c r="AC22" s="14"/>
      <c r="AD22" s="62"/>
      <c r="AE22" s="14"/>
      <c r="AF22" s="66"/>
      <c r="AG22" s="66"/>
      <c r="AH22" s="66"/>
      <c r="AI22" s="80"/>
      <c r="AJ22" s="66"/>
    </row>
    <row r="23" spans="2:36" x14ac:dyDescent="0.25">
      <c r="B23" s="4">
        <v>4.5033926098328001</v>
      </c>
      <c r="C23" s="4">
        <v>0.75511641042661903</v>
      </c>
      <c r="D23" s="3">
        <v>4.4845012962678503E-2</v>
      </c>
      <c r="E23" s="61">
        <v>1.3223692425413101E-4</v>
      </c>
      <c r="F23" s="3">
        <v>0.21985816955566401</v>
      </c>
      <c r="G23" s="14"/>
      <c r="H23" s="14"/>
      <c r="I23" s="14"/>
      <c r="J23" s="62"/>
      <c r="K23" s="14"/>
      <c r="L23" s="4"/>
      <c r="M23" s="4"/>
      <c r="N23" s="3"/>
      <c r="O23" s="61"/>
      <c r="P23" s="4"/>
      <c r="Q23" s="14"/>
      <c r="R23" s="14"/>
      <c r="S23" s="14"/>
      <c r="T23" s="62"/>
      <c r="U23" s="14"/>
      <c r="V23" s="66"/>
      <c r="W23" s="66"/>
      <c r="X23" s="66"/>
      <c r="Y23" s="80"/>
      <c r="Z23" s="66"/>
      <c r="AA23" s="14"/>
      <c r="AB23" s="14"/>
      <c r="AC23" s="14"/>
      <c r="AD23" s="62"/>
      <c r="AE23" s="14"/>
      <c r="AF23" s="66"/>
      <c r="AG23" s="66"/>
      <c r="AH23" s="66"/>
      <c r="AI23" s="80"/>
      <c r="AJ23" s="66"/>
    </row>
    <row r="24" spans="2:36" x14ac:dyDescent="0.25">
      <c r="B24" s="4">
        <v>4.5673914929329396</v>
      </c>
      <c r="C24" s="4">
        <v>0.75511641042661903</v>
      </c>
      <c r="D24" s="3">
        <v>4.4845012962678503E-2</v>
      </c>
      <c r="E24" s="61">
        <v>1.32229361220904E-4</v>
      </c>
      <c r="F24" s="4">
        <v>0.20500302314758301</v>
      </c>
      <c r="G24" s="14"/>
      <c r="H24" s="14"/>
      <c r="I24" s="14"/>
      <c r="J24" s="62"/>
      <c r="K24" s="14"/>
      <c r="L24" s="4"/>
      <c r="M24" s="4"/>
      <c r="N24" s="3"/>
      <c r="O24" s="61"/>
      <c r="P24" s="4"/>
      <c r="Q24" s="14"/>
      <c r="R24" s="14"/>
      <c r="S24" s="14"/>
      <c r="T24" s="62"/>
      <c r="U24" s="14"/>
      <c r="V24" s="66"/>
      <c r="W24" s="66"/>
      <c r="X24" s="66"/>
      <c r="Y24" s="80"/>
      <c r="Z24" s="66"/>
      <c r="AA24" s="14"/>
      <c r="AB24" s="14"/>
      <c r="AC24" s="14"/>
      <c r="AD24" s="62"/>
      <c r="AE24" s="14"/>
      <c r="AF24" s="66"/>
      <c r="AG24" s="66"/>
      <c r="AH24" s="66"/>
      <c r="AI24" s="80"/>
      <c r="AJ24" s="66"/>
    </row>
    <row r="25" spans="2:36" x14ac:dyDescent="0.25">
      <c r="B25" s="4">
        <v>4.5673914929329396</v>
      </c>
      <c r="C25" s="4">
        <v>0.75511641042661903</v>
      </c>
      <c r="D25" s="3">
        <v>4.4845012962678503E-2</v>
      </c>
      <c r="E25" s="61">
        <v>1.32221798187677E-4</v>
      </c>
      <c r="F25" s="4">
        <v>0.211128234863281</v>
      </c>
      <c r="G25" s="14"/>
      <c r="H25" s="14"/>
      <c r="I25" s="14"/>
      <c r="J25" s="62"/>
      <c r="K25" s="14"/>
      <c r="L25" s="4"/>
      <c r="M25" s="4"/>
      <c r="N25" s="3"/>
      <c r="O25" s="61"/>
      <c r="P25" s="4"/>
      <c r="Q25" s="14"/>
      <c r="R25" s="14"/>
      <c r="S25" s="14"/>
      <c r="T25" s="62"/>
      <c r="U25" s="14"/>
      <c r="V25" s="66"/>
      <c r="W25" s="66"/>
      <c r="X25" s="66"/>
      <c r="Y25" s="80"/>
      <c r="Z25" s="66"/>
      <c r="AA25" s="14"/>
      <c r="AB25" s="14"/>
      <c r="AC25" s="14"/>
      <c r="AD25" s="62"/>
      <c r="AE25" s="14"/>
      <c r="AF25" s="66"/>
      <c r="AG25" s="66"/>
      <c r="AH25" s="66"/>
      <c r="AI25" s="80"/>
      <c r="AJ25" s="66"/>
    </row>
    <row r="26" spans="2:36" x14ac:dyDescent="0.25">
      <c r="B26" s="4">
        <v>4.5201319803780304</v>
      </c>
      <c r="C26" s="4">
        <v>0.75511641042661903</v>
      </c>
      <c r="D26" s="3">
        <v>4.4845012962678503E-2</v>
      </c>
      <c r="E26" s="61">
        <v>1.3221423515444999E-4</v>
      </c>
      <c r="F26" s="4">
        <v>0.24598479270935</v>
      </c>
      <c r="G26" s="14"/>
      <c r="H26" s="14"/>
      <c r="I26" s="14"/>
      <c r="J26" s="62"/>
      <c r="K26" s="14"/>
      <c r="L26" s="4"/>
      <c r="M26" s="4"/>
      <c r="N26" s="3"/>
      <c r="O26" s="61"/>
      <c r="P26" s="4"/>
      <c r="Q26" s="14"/>
      <c r="R26" s="14"/>
      <c r="S26" s="14"/>
      <c r="T26" s="62"/>
      <c r="U26" s="14"/>
      <c r="V26" s="66"/>
      <c r="W26" s="66"/>
      <c r="X26" s="66"/>
      <c r="Y26" s="80"/>
      <c r="Z26" s="66"/>
      <c r="AA26" s="14"/>
      <c r="AB26" s="14"/>
      <c r="AC26" s="14"/>
      <c r="AD26" s="62"/>
      <c r="AE26" s="14"/>
      <c r="AF26" s="66"/>
      <c r="AG26" s="66"/>
      <c r="AH26" s="66"/>
      <c r="AI26" s="80"/>
      <c r="AJ26" s="66"/>
    </row>
    <row r="28" spans="2:36" x14ac:dyDescent="0.25">
      <c r="B28" s="40" t="s">
        <v>44</v>
      </c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2:36" x14ac:dyDescent="0.25">
      <c r="B29" s="33" t="s">
        <v>19</v>
      </c>
      <c r="C29" s="34"/>
      <c r="D29" s="34"/>
      <c r="E29" s="34"/>
      <c r="F29" s="35"/>
      <c r="G29" s="70" t="s">
        <v>21</v>
      </c>
      <c r="H29" s="71"/>
      <c r="I29" s="71"/>
      <c r="J29" s="71"/>
      <c r="K29" s="72"/>
      <c r="L29" s="36" t="s">
        <v>22</v>
      </c>
      <c r="M29" s="37"/>
      <c r="N29" s="37"/>
      <c r="O29" s="37"/>
      <c r="P29" s="38"/>
      <c r="Q29" s="75" t="s">
        <v>16</v>
      </c>
      <c r="R29" s="76"/>
      <c r="S29" s="76"/>
      <c r="T29" s="76"/>
      <c r="U29" s="77"/>
      <c r="V29" s="67" t="s">
        <v>37</v>
      </c>
      <c r="W29" s="68"/>
      <c r="X29" s="68"/>
      <c r="Y29" s="68"/>
      <c r="Z29" s="69"/>
      <c r="AA29" s="75" t="s">
        <v>42</v>
      </c>
      <c r="AB29" s="76"/>
      <c r="AC29" s="76"/>
      <c r="AD29" s="76"/>
      <c r="AE29" s="77"/>
      <c r="AF29" s="67" t="s">
        <v>31</v>
      </c>
      <c r="AG29" s="68"/>
      <c r="AH29" s="68"/>
      <c r="AI29" s="68"/>
      <c r="AJ29" s="69"/>
    </row>
    <row r="30" spans="2:36" ht="60" x14ac:dyDescent="0.25">
      <c r="B30" s="2" t="s">
        <v>20</v>
      </c>
      <c r="C30" s="2" t="s">
        <v>9</v>
      </c>
      <c r="D30" s="13" t="s">
        <v>10</v>
      </c>
      <c r="E30" s="60" t="s">
        <v>23</v>
      </c>
      <c r="F30" s="2" t="s">
        <v>26</v>
      </c>
      <c r="G30" s="73" t="s">
        <v>20</v>
      </c>
      <c r="H30" s="73" t="s">
        <v>9</v>
      </c>
      <c r="I30" s="74" t="s">
        <v>10</v>
      </c>
      <c r="J30" s="81" t="s">
        <v>23</v>
      </c>
      <c r="K30" s="73" t="s">
        <v>26</v>
      </c>
      <c r="L30" s="2" t="s">
        <v>20</v>
      </c>
      <c r="M30" s="2" t="s">
        <v>9</v>
      </c>
      <c r="N30" s="13" t="s">
        <v>10</v>
      </c>
      <c r="O30" s="60" t="s">
        <v>23</v>
      </c>
      <c r="P30" s="2" t="s">
        <v>26</v>
      </c>
      <c r="Q30" s="73" t="s">
        <v>20</v>
      </c>
      <c r="R30" s="73" t="s">
        <v>9</v>
      </c>
      <c r="S30" s="74" t="s">
        <v>10</v>
      </c>
      <c r="T30" s="81" t="s">
        <v>23</v>
      </c>
      <c r="U30" s="73" t="s">
        <v>26</v>
      </c>
      <c r="V30" s="64" t="s">
        <v>20</v>
      </c>
      <c r="W30" s="64" t="s">
        <v>9</v>
      </c>
      <c r="X30" s="65" t="s">
        <v>10</v>
      </c>
      <c r="Y30" s="79" t="s">
        <v>23</v>
      </c>
      <c r="Z30" s="64" t="s">
        <v>26</v>
      </c>
      <c r="AA30" s="73" t="s">
        <v>20</v>
      </c>
      <c r="AB30" s="73" t="s">
        <v>9</v>
      </c>
      <c r="AC30" s="74" t="s">
        <v>10</v>
      </c>
      <c r="AD30" s="81" t="s">
        <v>23</v>
      </c>
      <c r="AE30" s="73" t="s">
        <v>26</v>
      </c>
      <c r="AF30" s="64" t="s">
        <v>20</v>
      </c>
      <c r="AG30" s="64" t="s">
        <v>9</v>
      </c>
      <c r="AH30" s="65" t="s">
        <v>10</v>
      </c>
      <c r="AI30" s="79" t="s">
        <v>23</v>
      </c>
      <c r="AJ30" s="64" t="s">
        <v>26</v>
      </c>
    </row>
    <row r="31" spans="2:36" x14ac:dyDescent="0.25">
      <c r="B31" s="4">
        <v>69.401945813401099</v>
      </c>
      <c r="C31" s="4">
        <v>9.0642809004641407</v>
      </c>
      <c r="D31" s="3">
        <v>6.2164238822761397E-2</v>
      </c>
      <c r="E31" s="61">
        <v>1.8113523540713401E-5</v>
      </c>
      <c r="F31" s="4">
        <v>2.1059374809265101</v>
      </c>
      <c r="G31" s="14">
        <v>3.92158754730682</v>
      </c>
      <c r="H31" s="14">
        <v>0.70745043162718302</v>
      </c>
      <c r="I31" s="14">
        <v>8.8056366468285296E-2</v>
      </c>
      <c r="J31" s="62">
        <v>2.79096427281892E-5</v>
      </c>
      <c r="K31" s="14">
        <v>2.2464616298675502</v>
      </c>
      <c r="L31" s="4">
        <v>3.81839148144461</v>
      </c>
      <c r="M31" s="4">
        <v>0.69895933379474995</v>
      </c>
      <c r="N31" s="3">
        <v>8.8401044113808502E-2</v>
      </c>
      <c r="O31" s="61">
        <v>2.80358393491259E-5</v>
      </c>
      <c r="P31" s="4">
        <v>2.4535984992980899</v>
      </c>
      <c r="Q31" s="14">
        <v>3.9247301670736698</v>
      </c>
      <c r="R31" s="14">
        <v>0.73391997844176504</v>
      </c>
      <c r="S31" s="14">
        <v>8.8616788227617399E-2</v>
      </c>
      <c r="T31" s="62">
        <v>2.81752679425879E-5</v>
      </c>
      <c r="U31" s="14">
        <v>2.3361291885375901</v>
      </c>
      <c r="V31" s="66">
        <v>3.8181739439976101</v>
      </c>
      <c r="W31" s="66">
        <v>0.69893563754981602</v>
      </c>
      <c r="X31" s="66">
        <v>8.8446251455234798E-2</v>
      </c>
      <c r="Y31" s="80">
        <v>2.8157871987388801E-5</v>
      </c>
      <c r="Z31" s="66">
        <v>2.6465549468994101</v>
      </c>
      <c r="AA31" s="14">
        <v>3.9278823802010101</v>
      </c>
      <c r="AB31" s="14">
        <v>0.72442486659046001</v>
      </c>
      <c r="AC31" s="14">
        <v>8.8203191138086501E-2</v>
      </c>
      <c r="AD31" s="62">
        <v>2.83035368819735E-5</v>
      </c>
      <c r="AE31" s="14">
        <v>3.06500816345214</v>
      </c>
      <c r="AF31" s="66">
        <v>3.8354882494398801</v>
      </c>
      <c r="AG31" s="66">
        <v>0.70595755176693498</v>
      </c>
      <c r="AH31" s="66">
        <v>8.8415207276172497E-2</v>
      </c>
      <c r="AI31" s="80">
        <v>2.8776972045180201E-5</v>
      </c>
      <c r="AJ31" s="66">
        <v>3.9523067474365199</v>
      </c>
    </row>
    <row r="32" spans="2:36" x14ac:dyDescent="0.25">
      <c r="B32" s="4">
        <v>68.916185153514803</v>
      </c>
      <c r="C32" s="4">
        <v>9.1648873614190691</v>
      </c>
      <c r="D32" s="3">
        <v>6.2164238822761397E-2</v>
      </c>
      <c r="E32" s="61">
        <v>1.80867406639186E-5</v>
      </c>
      <c r="F32" s="3">
        <v>1.8504958152770901</v>
      </c>
      <c r="G32" s="14">
        <v>3.92157571097757</v>
      </c>
      <c r="H32" s="78">
        <v>0.70745833035179795</v>
      </c>
      <c r="I32" s="14">
        <v>8.8056366468285296E-2</v>
      </c>
      <c r="J32" s="62">
        <v>2.79165756357338E-5</v>
      </c>
      <c r="K32" s="14">
        <v>2.13235211372375</v>
      </c>
      <c r="L32" s="4">
        <v>3.8887265129523798</v>
      </c>
      <c r="M32" s="4">
        <v>0.72133648232713898</v>
      </c>
      <c r="N32" s="3">
        <v>8.85403441138089E-2</v>
      </c>
      <c r="O32" s="61">
        <v>2.8099163570296E-5</v>
      </c>
      <c r="P32" s="4">
        <v>2.02778792381286</v>
      </c>
      <c r="Q32" s="14">
        <v>3.75917911978553</v>
      </c>
      <c r="R32" s="14">
        <v>0.691526665858333</v>
      </c>
      <c r="S32" s="14">
        <v>8.8391188227616796E-2</v>
      </c>
      <c r="T32" s="62">
        <v>2.8078570440168501E-5</v>
      </c>
      <c r="U32" s="14">
        <v>2.4931118488311701</v>
      </c>
      <c r="V32" s="66">
        <v>3.8006592263743402</v>
      </c>
      <c r="W32" s="66">
        <v>0.69891181163915606</v>
      </c>
      <c r="X32" s="66">
        <v>8.8456201455234806E-2</v>
      </c>
      <c r="Y32" s="80">
        <v>2.81696465383705E-5</v>
      </c>
      <c r="Z32" s="66">
        <v>2.28475618362426</v>
      </c>
      <c r="AA32" s="14">
        <v>3.7585106955345702</v>
      </c>
      <c r="AB32" s="14">
        <v>0.69152666588992395</v>
      </c>
      <c r="AC32" s="14">
        <v>8.8511741138086297E-2</v>
      </c>
      <c r="AD32" s="62">
        <v>2.8413531592332301E-5</v>
      </c>
      <c r="AE32" s="14">
        <v>3.03480005264282</v>
      </c>
      <c r="AF32" s="66">
        <v>3.92702068981834</v>
      </c>
      <c r="AG32" s="66">
        <v>0.72441696782635001</v>
      </c>
      <c r="AH32" s="66">
        <v>8.8353882276172899E-2</v>
      </c>
      <c r="AI32" s="80">
        <v>2.8740707252570802E-5</v>
      </c>
      <c r="AJ32" s="66">
        <v>4.0790760517120299</v>
      </c>
    </row>
    <row r="33" spans="2:36" x14ac:dyDescent="0.25">
      <c r="B33" s="4">
        <v>68.964609212397804</v>
      </c>
      <c r="C33" s="4">
        <v>9.1603220093477393</v>
      </c>
      <c r="D33" s="3">
        <v>6.2164238822761397E-2</v>
      </c>
      <c r="E33" s="61">
        <v>1.8099707152006E-5</v>
      </c>
      <c r="F33" s="4">
        <v>2.09901523590087</v>
      </c>
      <c r="G33" s="14">
        <v>3.7493659731015598</v>
      </c>
      <c r="H33" s="14">
        <v>0.683161811318722</v>
      </c>
      <c r="I33" s="14">
        <v>8.8273741468284997E-2</v>
      </c>
      <c r="J33" s="62">
        <v>2.79946164319667E-5</v>
      </c>
      <c r="K33" s="14">
        <v>2.2492113113403298</v>
      </c>
      <c r="L33" s="4">
        <v>3.7045606761650598</v>
      </c>
      <c r="M33" s="4">
        <v>0.68309849184027904</v>
      </c>
      <c r="N33" s="3">
        <v>8.8307994113808796E-2</v>
      </c>
      <c r="O33" s="61">
        <v>2.80145273619772E-5</v>
      </c>
      <c r="P33" s="4">
        <v>2.1771912574768</v>
      </c>
      <c r="Q33" s="14">
        <v>3.7296431460648098</v>
      </c>
      <c r="R33" s="14">
        <v>0.69921987718304002</v>
      </c>
      <c r="S33" s="14">
        <v>8.8323063227617099E-2</v>
      </c>
      <c r="T33" s="62">
        <v>2.80588246584969E-5</v>
      </c>
      <c r="U33" s="14">
        <v>2.14797663688659</v>
      </c>
      <c r="V33" s="66">
        <v>3.9457577664771999</v>
      </c>
      <c r="W33" s="66">
        <v>0.71548445965802898</v>
      </c>
      <c r="X33" s="66">
        <v>8.8446251455234701E-2</v>
      </c>
      <c r="Y33" s="80">
        <v>2.8164523725942199E-5</v>
      </c>
      <c r="Z33" s="66">
        <v>2.5861542224884002</v>
      </c>
      <c r="AA33" s="14">
        <v>3.7297592295119002</v>
      </c>
      <c r="AB33" s="14">
        <v>0.69921987721463796</v>
      </c>
      <c r="AC33" s="14">
        <v>8.8443616138086198E-2</v>
      </c>
      <c r="AD33" s="62">
        <v>2.8409425784168799E-5</v>
      </c>
      <c r="AE33" s="14">
        <v>3.10672783851623</v>
      </c>
      <c r="AF33" s="66">
        <v>3.8184299570617402</v>
      </c>
      <c r="AG33" s="66">
        <v>0.69896723257465598</v>
      </c>
      <c r="AH33" s="66">
        <v>8.8687357276172801E-2</v>
      </c>
      <c r="AI33" s="80">
        <v>2.8858936560529499E-5</v>
      </c>
      <c r="AJ33" s="66">
        <v>4.2503848075866699</v>
      </c>
    </row>
    <row r="34" spans="2:36" x14ac:dyDescent="0.25">
      <c r="B34" s="4">
        <v>69.172551685058906</v>
      </c>
      <c r="C34" s="4">
        <v>9.1551006546894005</v>
      </c>
      <c r="D34" s="3">
        <v>6.2164238822761397E-2</v>
      </c>
      <c r="E34" s="61">
        <v>1.8033174910329E-5</v>
      </c>
      <c r="F34" s="4">
        <v>1.9400660991668699</v>
      </c>
      <c r="G34" s="14">
        <v>3.7228043836025999</v>
      </c>
      <c r="H34" s="14">
        <v>0.69135268339149203</v>
      </c>
      <c r="I34" s="14">
        <v>8.8273741468284997E-2</v>
      </c>
      <c r="J34" s="62">
        <v>2.80154346836361E-5</v>
      </c>
      <c r="K34" s="14">
        <v>2.1871917247772199</v>
      </c>
      <c r="L34" s="4">
        <v>3.7230943156123502</v>
      </c>
      <c r="M34" s="4">
        <v>0.701629014446155</v>
      </c>
      <c r="N34" s="3">
        <v>8.8254894113808297E-2</v>
      </c>
      <c r="O34" s="61">
        <v>2.8002209630401E-5</v>
      </c>
      <c r="P34" s="4">
        <v>2.29831337928771</v>
      </c>
      <c r="Q34" s="14">
        <v>3.8354075310186002</v>
      </c>
      <c r="R34" s="14">
        <v>0.70599704545319797</v>
      </c>
      <c r="S34" s="14">
        <v>8.8143963227617098E-2</v>
      </c>
      <c r="T34" s="62">
        <v>2.7991991491029802E-5</v>
      </c>
      <c r="U34" s="14">
        <v>2.5393826961517298</v>
      </c>
      <c r="V34" s="66">
        <v>3.7290937930123</v>
      </c>
      <c r="W34" s="66">
        <v>0.69918828192124105</v>
      </c>
      <c r="X34" s="66">
        <v>8.8353201455234606E-2</v>
      </c>
      <c r="Y34" s="80">
        <v>2.8151395378405799E-5</v>
      </c>
      <c r="Z34" s="66">
        <v>2.5232589244842498</v>
      </c>
      <c r="AA34" s="14">
        <v>3.7232682335176799</v>
      </c>
      <c r="AB34" s="14">
        <v>0.70171590070127998</v>
      </c>
      <c r="AC34" s="14">
        <v>8.8390516138086503E-2</v>
      </c>
      <c r="AD34" s="62">
        <v>2.83951462158457E-5</v>
      </c>
      <c r="AE34" s="14">
        <v>3.0574562549590998</v>
      </c>
      <c r="AF34" s="66">
        <v>4.1305605019934903</v>
      </c>
      <c r="AG34" s="66">
        <v>0.74397459185471204</v>
      </c>
      <c r="AH34" s="66">
        <v>8.8718832276172804E-2</v>
      </c>
      <c r="AI34" s="80">
        <v>2.88892419446415E-5</v>
      </c>
      <c r="AJ34" s="66">
        <v>3.9828605651855402</v>
      </c>
    </row>
    <row r="35" spans="2:36" x14ac:dyDescent="0.25">
      <c r="B35" s="4">
        <v>69.139874543880694</v>
      </c>
      <c r="C35" s="4">
        <v>9.1556614690975096</v>
      </c>
      <c r="D35" s="3">
        <v>6.2164238822761397E-2</v>
      </c>
      <c r="E35" s="61">
        <v>1.8006392033534199E-5</v>
      </c>
      <c r="F35" s="4">
        <v>2.1525821685790998</v>
      </c>
      <c r="G35" s="14">
        <v>3.7406837238192101</v>
      </c>
      <c r="H35" s="14">
        <v>0.68639243354032298</v>
      </c>
      <c r="I35" s="14">
        <v>8.8292016468285106E-2</v>
      </c>
      <c r="J35" s="62">
        <v>2.7991976836474499E-5</v>
      </c>
      <c r="K35" s="14">
        <v>2.4780299663543701</v>
      </c>
      <c r="L35" s="4">
        <v>3.8355050764754099</v>
      </c>
      <c r="M35" s="4">
        <v>0.70596545052314497</v>
      </c>
      <c r="N35" s="3">
        <v>8.8128894113808406E-2</v>
      </c>
      <c r="O35" s="61">
        <v>2.7956683894845301E-5</v>
      </c>
      <c r="P35" s="4">
        <v>2.26269507408142</v>
      </c>
      <c r="Q35" s="14">
        <v>3.8649254430746902</v>
      </c>
      <c r="R35" s="14">
        <v>0.72606856813449305</v>
      </c>
      <c r="S35" s="14">
        <v>8.8565363227617599E-2</v>
      </c>
      <c r="T35" s="62">
        <v>2.8148309439684399E-5</v>
      </c>
      <c r="U35" s="14">
        <v>2.1721127033233598</v>
      </c>
      <c r="V35" s="66">
        <v>3.8079109139982701</v>
      </c>
      <c r="W35" s="66">
        <v>0.70885640099114799</v>
      </c>
      <c r="X35" s="66">
        <v>8.8203801455234501E-2</v>
      </c>
      <c r="Y35" s="80">
        <v>2.8106798485124302E-5</v>
      </c>
      <c r="Z35" s="66">
        <v>2.48196053504943</v>
      </c>
      <c r="AA35" s="14">
        <v>3.8078640276377702</v>
      </c>
      <c r="AB35" s="14">
        <v>0.70885640070679301</v>
      </c>
      <c r="AC35" s="14">
        <v>8.8294216138086398E-2</v>
      </c>
      <c r="AD35" s="62">
        <v>2.83683693983857E-5</v>
      </c>
      <c r="AE35" s="14">
        <v>3.0213196277618399</v>
      </c>
      <c r="AF35" s="66">
        <v>3.9283256783666101</v>
      </c>
      <c r="AG35" s="66">
        <v>0.71459088090707101</v>
      </c>
      <c r="AH35" s="66">
        <v>8.8391857276173103E-2</v>
      </c>
      <c r="AI35" s="80">
        <v>2.8784333993172201E-5</v>
      </c>
      <c r="AJ35" s="66">
        <v>4.0355627536773602</v>
      </c>
    </row>
  </sheetData>
  <mergeCells count="32">
    <mergeCell ref="B28:AJ28"/>
    <mergeCell ref="B29:F29"/>
    <mergeCell ref="G29:K29"/>
    <mergeCell ref="L29:P29"/>
    <mergeCell ref="Q29:U29"/>
    <mergeCell ref="V29:Z29"/>
    <mergeCell ref="AA29:AE29"/>
    <mergeCell ref="AF29:AJ29"/>
    <mergeCell ref="V11:Z11"/>
    <mergeCell ref="AA11:AE11"/>
    <mergeCell ref="AF11:AJ11"/>
    <mergeCell ref="B19:AJ19"/>
    <mergeCell ref="B20:F20"/>
    <mergeCell ref="G20:K20"/>
    <mergeCell ref="L20:P20"/>
    <mergeCell ref="Q20:U20"/>
    <mergeCell ref="V20:Z20"/>
    <mergeCell ref="AA20:AE20"/>
    <mergeCell ref="AF20:AJ20"/>
    <mergeCell ref="AF2:AJ2"/>
    <mergeCell ref="V2:Z2"/>
    <mergeCell ref="AA2:AE2"/>
    <mergeCell ref="B1:AJ1"/>
    <mergeCell ref="B10:AJ10"/>
    <mergeCell ref="Q11:U11"/>
    <mergeCell ref="B11:F11"/>
    <mergeCell ref="G11:K11"/>
    <mergeCell ref="L11:P11"/>
    <mergeCell ref="Q2:U2"/>
    <mergeCell ref="B2:F2"/>
    <mergeCell ref="L2:P2"/>
    <mergeCell ref="G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S59"/>
  <sheetViews>
    <sheetView topLeftCell="G6" zoomScaleNormal="100" workbookViewId="0">
      <selection activeCell="K25" sqref="K25:O25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</cols>
  <sheetData>
    <row r="1" spans="1:19" s="24" customFormat="1" ht="60.75" customHeight="1" x14ac:dyDescent="0.25">
      <c r="A1" s="41" t="s">
        <v>43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</row>
    <row r="2" spans="1:19" s="1" customFormat="1" x14ac:dyDescent="0.25">
      <c r="M2" s="12"/>
      <c r="N2" s="15"/>
    </row>
    <row r="3" spans="1:19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26</v>
      </c>
    </row>
    <row r="4" spans="1:19" x14ac:dyDescent="0.25">
      <c r="A4" s="43" t="s">
        <v>12</v>
      </c>
      <c r="B4" s="11">
        <v>1</v>
      </c>
      <c r="C4" s="47" t="s">
        <v>5</v>
      </c>
      <c r="D4" s="47">
        <v>66</v>
      </c>
      <c r="E4" s="47">
        <v>66</v>
      </c>
      <c r="F4" s="48">
        <v>13000</v>
      </c>
      <c r="G4" s="47">
        <v>1</v>
      </c>
      <c r="H4" s="47">
        <v>1</v>
      </c>
      <c r="I4" s="47">
        <v>66</v>
      </c>
      <c r="J4" s="47">
        <v>66</v>
      </c>
      <c r="K4" s="5">
        <f>AVERAGE(DataExp1.1!B4:B8)</f>
        <v>47.672520781360575</v>
      </c>
      <c r="L4" s="5">
        <f>AVERAGE(DataExp1.1!C4:C8)</f>
        <v>6.570467981210955</v>
      </c>
      <c r="M4" s="5">
        <f>AVERAGE(DataExp1.1!D4:D8)</f>
        <v>280.77705301382201</v>
      </c>
      <c r="N4" s="17">
        <f>AVERAGE(DataExp1.1!E4:E8)</f>
        <v>1.2425394490002499E-3</v>
      </c>
      <c r="O4" s="5">
        <f>AVERAGE(DataExp1.1!F4:F8)</f>
        <v>2.15042877197265</v>
      </c>
    </row>
    <row r="5" spans="1:19" x14ac:dyDescent="0.25">
      <c r="A5" s="44"/>
      <c r="B5" s="6">
        <v>3</v>
      </c>
      <c r="C5" s="45"/>
      <c r="D5" s="45"/>
      <c r="E5" s="45"/>
      <c r="F5" s="49"/>
      <c r="G5" s="45"/>
      <c r="H5" s="45"/>
      <c r="I5" s="45"/>
      <c r="J5" s="45"/>
      <c r="K5" s="5">
        <f>AVERAGE(DataExp1.1!G4:G8)</f>
        <v>21.856551751247018</v>
      </c>
      <c r="L5" s="5">
        <f>AVERAGE(DataExp1.1!H4:H8)</f>
        <v>3.2246456912534418</v>
      </c>
      <c r="M5" s="5">
        <f>AVERAGE(DataExp1.1!I4:I8)</f>
        <v>391.12383904146679</v>
      </c>
      <c r="N5" s="17">
        <f>AVERAGE(DataExp1.1!J4:J8)</f>
        <v>1.8339326393051179E-3</v>
      </c>
      <c r="O5" s="5">
        <f>AVERAGE(DataExp1.1!K4:K8)</f>
        <v>2.1786093235015822</v>
      </c>
    </row>
    <row r="6" spans="1:19" x14ac:dyDescent="0.25">
      <c r="A6" s="44"/>
      <c r="B6" s="6">
        <v>5</v>
      </c>
      <c r="C6" s="45"/>
      <c r="D6" s="45"/>
      <c r="E6" s="45"/>
      <c r="F6" s="49"/>
      <c r="G6" s="45"/>
      <c r="H6" s="45"/>
      <c r="I6" s="45"/>
      <c r="J6" s="45"/>
      <c r="K6" s="5">
        <f>AVERAGE(DataExp1.1!L4:L8)</f>
        <v>11.98984802681626</v>
      </c>
      <c r="L6" s="5">
        <f>AVERAGE(DataExp1.1!M4:M8)</f>
        <v>2.0149346560221604</v>
      </c>
      <c r="M6" s="5">
        <f>AVERAGE(DataExp1.1!N4:N8)</f>
        <v>429.47662506911354</v>
      </c>
      <c r="N6" s="17">
        <f>AVERAGE(DataExp1.1!O4:O8)</f>
        <v>2.00795051304717E-3</v>
      </c>
      <c r="O6" s="5">
        <f>AVERAGE(DataExp1.1!P4:P8)</f>
        <v>2.3205418109893743</v>
      </c>
    </row>
    <row r="7" spans="1:19" x14ac:dyDescent="0.25">
      <c r="A7" s="44"/>
      <c r="B7" s="6">
        <v>10</v>
      </c>
      <c r="C7" s="45"/>
      <c r="D7" s="45"/>
      <c r="E7" s="45"/>
      <c r="F7" s="49"/>
      <c r="G7" s="45"/>
      <c r="H7" s="45"/>
      <c r="I7" s="45"/>
      <c r="J7" s="45"/>
      <c r="K7" s="5">
        <f>AVERAGE(DataExp1.1!Q4:Q8)</f>
        <v>1.5875226457050842</v>
      </c>
      <c r="L7" s="5">
        <f>AVERAGE(DataExp1.1!R4:R8)</f>
        <v>0.4703038834919574</v>
      </c>
      <c r="M7" s="5">
        <f>AVERAGE(DataExp1.1!S4:S8)</f>
        <v>448.50177013822696</v>
      </c>
      <c r="N7" s="17">
        <f>AVERAGE(DataExp1.1!T4:T8)</f>
        <v>2.0519250989654981E-3</v>
      </c>
      <c r="O7" s="5">
        <f>AVERAGE(DataExp1.1!U4:U8)</f>
        <v>2.2747531890869097</v>
      </c>
    </row>
    <row r="8" spans="1:19" x14ac:dyDescent="0.25">
      <c r="A8" s="44"/>
      <c r="B8" s="6">
        <v>20</v>
      </c>
      <c r="C8" s="45"/>
      <c r="D8" s="45"/>
      <c r="E8" s="45"/>
      <c r="F8" s="49"/>
      <c r="G8" s="45"/>
      <c r="H8" s="45"/>
      <c r="I8" s="45"/>
      <c r="J8" s="45"/>
      <c r="K8" s="5">
        <f>AVERAGE(DataExp1.1!V4:V8)</f>
        <v>1.1816151609203558</v>
      </c>
      <c r="L8" s="5">
        <f>AVERAGE(DataExp1.1!W4:W8)</f>
        <v>0.36451866478278661</v>
      </c>
      <c r="M8" s="5">
        <f>AVERAGE(DataExp1.1!X4:X8)</f>
        <v>457.11036027645423</v>
      </c>
      <c r="N8" s="17">
        <f>AVERAGE(DataExp1.1!Y4:Y8)</f>
        <v>2.0634121491367183E-3</v>
      </c>
      <c r="O8" s="5">
        <f>AVERAGE(DataExp1.1!Z4:Z8)</f>
        <v>2.5595404148101739</v>
      </c>
    </row>
    <row r="9" spans="1:19" x14ac:dyDescent="0.25">
      <c r="A9" s="44"/>
      <c r="B9" s="6">
        <v>50</v>
      </c>
      <c r="C9" s="45"/>
      <c r="D9" s="45"/>
      <c r="E9" s="45"/>
      <c r="F9" s="49"/>
      <c r="G9" s="45"/>
      <c r="H9" s="45"/>
      <c r="I9" s="45"/>
      <c r="J9" s="45"/>
      <c r="K9" s="5">
        <f>AVERAGE(DataExp1.1!AA4:AA8)</f>
        <v>1.6919275836893182</v>
      </c>
      <c r="L9" s="5">
        <f>AVERAGE(DataExp1.1!AB4:AB8)</f>
        <v>0.47056375966812097</v>
      </c>
      <c r="M9" s="5">
        <f>AVERAGE(DataExp1.1!AC4:AC8)</f>
        <v>452.94012069113739</v>
      </c>
      <c r="N9" s="17">
        <f>AVERAGE(DataExp1.1!AD4:AD8)</f>
        <v>2.0812879931394559E-3</v>
      </c>
      <c r="O9" s="5">
        <f>AVERAGE(DataExp1.1!AE4:AE8)</f>
        <v>3.0158440589904738</v>
      </c>
    </row>
    <row r="10" spans="1:19" x14ac:dyDescent="0.25">
      <c r="A10" s="44"/>
      <c r="B10" s="6">
        <v>100</v>
      </c>
      <c r="C10" s="45"/>
      <c r="D10" s="45"/>
      <c r="E10" s="45"/>
      <c r="F10" s="49"/>
      <c r="G10" s="45"/>
      <c r="H10" s="45"/>
      <c r="I10" s="45"/>
      <c r="J10" s="45"/>
      <c r="K10" s="5">
        <f>AVERAGE(DataExp1.1!AF4:AF8)</f>
        <v>1.1607429307212318</v>
      </c>
      <c r="L10" s="5">
        <f>AVERAGE(DataExp1.1!AG4:AG8)</f>
        <v>0.36810600706187663</v>
      </c>
      <c r="M10" s="5">
        <f>AVERAGE(DataExp1.1!AH4:AH8)</f>
        <v>456.02661138227523</v>
      </c>
      <c r="N10" s="17">
        <f>AVERAGE(DataExp1.1!AI4:AI8)</f>
        <v>2.0984690804853518E-3</v>
      </c>
      <c r="O10" s="5">
        <f>AVERAGE(DataExp1.1!AJ4:AJ8)</f>
        <v>4.1033407211303663</v>
      </c>
    </row>
    <row r="11" spans="1:19" x14ac:dyDescent="0.25">
      <c r="A11" s="45" t="s">
        <v>13</v>
      </c>
      <c r="B11" s="3">
        <v>1</v>
      </c>
      <c r="C11" s="45"/>
      <c r="D11" s="45"/>
      <c r="E11" s="45"/>
      <c r="F11" s="49"/>
      <c r="G11" s="45"/>
      <c r="H11" s="45"/>
      <c r="I11" s="45"/>
      <c r="J11" s="45"/>
      <c r="K11" s="4">
        <f>AVERAGE(DataExp1.1!B13:B17)</f>
        <v>98.52386541032611</v>
      </c>
      <c r="L11" s="4">
        <f>AVERAGE(DataExp1.1!C13:C17)</f>
        <v>13.16799620264122</v>
      </c>
      <c r="M11" s="4">
        <f>AVERAGE(DataExp1.1!D13:D17)</f>
        <v>38.8018530138228</v>
      </c>
      <c r="N11" s="4">
        <f>AVERAGE(DataExp1.1!E13:E17)</f>
        <v>1.8313175473446699E-2</v>
      </c>
      <c r="O11" s="4">
        <f>AVERAGE(DataExp1.1!F13:F17)</f>
        <v>2.0277222156524619</v>
      </c>
    </row>
    <row r="12" spans="1:19" x14ac:dyDescent="0.25">
      <c r="A12" s="45"/>
      <c r="B12" s="3">
        <v>3</v>
      </c>
      <c r="C12" s="45"/>
      <c r="D12" s="45"/>
      <c r="E12" s="45"/>
      <c r="F12" s="49"/>
      <c r="G12" s="45"/>
      <c r="H12" s="45"/>
      <c r="I12" s="45"/>
      <c r="J12" s="45"/>
      <c r="K12" s="4">
        <f>AVERAGE(DataExp1.1!G13:G17)</f>
        <v>3.5894588009443735</v>
      </c>
      <c r="L12" s="4">
        <f>AVERAGE(DataExp1.1!H13:H17)</f>
        <v>0.7271290796951515</v>
      </c>
      <c r="M12" s="4">
        <f>AVERAGE(DataExp1.1!I13:I17)</f>
        <v>72.87662904146822</v>
      </c>
      <c r="N12" s="4">
        <f>AVERAGE(DataExp1.1!J13:J17)</f>
        <v>3.8615452075436263E-2</v>
      </c>
      <c r="O12" s="4">
        <f>AVERAGE(DataExp1.1!K13:K17)</f>
        <v>2.2956936836242638</v>
      </c>
    </row>
    <row r="13" spans="1:19" x14ac:dyDescent="0.25">
      <c r="A13" s="45"/>
      <c r="B13" s="3">
        <v>5</v>
      </c>
      <c r="C13" s="45"/>
      <c r="D13" s="45"/>
      <c r="E13" s="45"/>
      <c r="F13" s="49"/>
      <c r="G13" s="45"/>
      <c r="H13" s="45"/>
      <c r="I13" s="45"/>
      <c r="J13" s="45"/>
      <c r="K13" s="4">
        <f>AVERAGE(DataExp1.1!L13:L17)</f>
        <v>4.6885991481999643</v>
      </c>
      <c r="L13" s="4">
        <f>AVERAGE(DataExp1.1!M13:M17)</f>
        <v>0.94745746549765697</v>
      </c>
      <c r="M13" s="4">
        <f>AVERAGE(DataExp1.1!N13:N17)</f>
        <v>75.425655069113745</v>
      </c>
      <c r="N13" s="4">
        <f>AVERAGE(DataExp1.1!O13:O17)</f>
        <v>4.0570253313418236E-2</v>
      </c>
      <c r="O13" s="4">
        <f>AVERAGE(DataExp1.1!P13:P17)</f>
        <v>2.1628134727477986</v>
      </c>
    </row>
    <row r="14" spans="1:19" x14ac:dyDescent="0.25">
      <c r="A14" s="45"/>
      <c r="B14" s="3">
        <v>10</v>
      </c>
      <c r="C14" s="45"/>
      <c r="D14" s="45"/>
      <c r="E14" s="45"/>
      <c r="F14" s="49"/>
      <c r="G14" s="45"/>
      <c r="H14" s="45"/>
      <c r="I14" s="45"/>
      <c r="J14" s="45"/>
      <c r="K14" s="4">
        <f>AVERAGE(DataExp1.1!Q13:Q17)</f>
        <v>4.6542904797370337</v>
      </c>
      <c r="L14" s="4">
        <f>AVERAGE(DataExp1.1!R13:R17)</f>
        <v>0.99628493667097506</v>
      </c>
      <c r="M14" s="4">
        <f>AVERAGE(DataExp1.1!S13:S17)</f>
        <v>76.236210138227662</v>
      </c>
      <c r="N14" s="4">
        <f>AVERAGE(DataExp1.1!T13:T17)</f>
        <v>4.119154816688074E-2</v>
      </c>
      <c r="O14" s="4">
        <f>AVERAGE(DataExp1.1!U13:U17)</f>
        <v>2.3146313190460179</v>
      </c>
    </row>
    <row r="15" spans="1:19" x14ac:dyDescent="0.25">
      <c r="A15" s="45"/>
      <c r="B15" s="3">
        <v>20</v>
      </c>
      <c r="C15" s="45"/>
      <c r="D15" s="45"/>
      <c r="E15" s="45"/>
      <c r="F15" s="49"/>
      <c r="G15" s="45"/>
      <c r="H15" s="45"/>
      <c r="I15" s="45"/>
      <c r="J15" s="45"/>
      <c r="K15" s="4">
        <f>AVERAGE(DataExp1.1!V13:V17)</f>
        <v>4.7382106552509056</v>
      </c>
      <c r="L15" s="4">
        <f>AVERAGE(DataExp1.1!W13:W17)</f>
        <v>0.96927676121293316</v>
      </c>
      <c r="M15" s="4">
        <f>AVERAGE(DataExp1.1!X13:X17)</f>
        <v>75.716870276455225</v>
      </c>
      <c r="N15" s="4">
        <f>AVERAGE(DataExp1.1!Y13:Y17)</f>
        <v>4.0889827973840248E-2</v>
      </c>
      <c r="O15" s="4">
        <f>AVERAGE(DataExp1.1!Z13:Z17)</f>
        <v>2.6227613925933779</v>
      </c>
    </row>
    <row r="16" spans="1:19" x14ac:dyDescent="0.25">
      <c r="A16" s="45"/>
      <c r="B16" s="3">
        <v>50</v>
      </c>
      <c r="C16" s="45"/>
      <c r="D16" s="45"/>
      <c r="E16" s="45"/>
      <c r="F16" s="49"/>
      <c r="G16" s="45"/>
      <c r="H16" s="45"/>
      <c r="I16" s="45"/>
      <c r="J16" s="45"/>
      <c r="K16" s="4">
        <f>AVERAGE(DataExp1.1!AA13:AA17)</f>
        <v>3.5014269837011178</v>
      </c>
      <c r="L16" s="4">
        <f>AVERAGE(DataExp1.1!AB13:AB17)</f>
        <v>0.82194590388464606</v>
      </c>
      <c r="M16" s="4">
        <f>AVERAGE(DataExp1.1!AC13:AC17)</f>
        <v>75.447920691138364</v>
      </c>
      <c r="N16" s="4">
        <f>AVERAGE(DataExp1.1!AD13:AD17)</f>
        <v>4.0578674015389359E-2</v>
      </c>
      <c r="O16" s="4">
        <f>AVERAGE(DataExp1.1!AE13:AE17)</f>
        <v>3.1331105232238721</v>
      </c>
    </row>
    <row r="17" spans="1:15" x14ac:dyDescent="0.25">
      <c r="A17" s="45"/>
      <c r="B17" s="3">
        <v>100</v>
      </c>
      <c r="C17" s="45"/>
      <c r="D17" s="45"/>
      <c r="E17" s="45"/>
      <c r="F17" s="49"/>
      <c r="G17" s="45"/>
      <c r="H17" s="45"/>
      <c r="I17" s="45"/>
      <c r="J17" s="45"/>
      <c r="K17" s="4">
        <f>AVERAGE(DataExp1.1!AF13:AF17)</f>
        <v>4.0573849410218283</v>
      </c>
      <c r="L17" s="4">
        <f>AVERAGE(DataExp1.1!AG13:AG17)</f>
        <v>0.8986508097888064</v>
      </c>
      <c r="M17" s="4">
        <f>AVERAGE(DataExp1.1!AH13:AH17)</f>
        <v>75.918481382276838</v>
      </c>
      <c r="N17" s="4">
        <f>AVERAGE(DataExp1.1!AI13:AI17)</f>
        <v>4.0870484577033753E-2</v>
      </c>
      <c r="O17" s="4">
        <f>AVERAGE(DataExp1.1!AJ13:AJ17)</f>
        <v>4.1135736465454062</v>
      </c>
    </row>
    <row r="18" spans="1:15" x14ac:dyDescent="0.25">
      <c r="A18" s="46" t="s">
        <v>14</v>
      </c>
      <c r="B18" s="30">
        <v>1</v>
      </c>
      <c r="C18" s="45"/>
      <c r="D18" s="45"/>
      <c r="E18" s="45"/>
      <c r="F18" s="49"/>
      <c r="G18" s="45"/>
      <c r="H18" s="45"/>
      <c r="I18" s="45"/>
      <c r="J18" s="45"/>
      <c r="K18" s="22"/>
      <c r="L18" s="22"/>
      <c r="M18" s="22"/>
      <c r="N18" s="23"/>
      <c r="O18" s="22"/>
    </row>
    <row r="19" spans="1:15" x14ac:dyDescent="0.25">
      <c r="A19" s="46"/>
      <c r="B19" s="30">
        <v>3</v>
      </c>
      <c r="C19" s="45"/>
      <c r="D19" s="45"/>
      <c r="E19" s="45"/>
      <c r="F19" s="49"/>
      <c r="G19" s="45"/>
      <c r="H19" s="45"/>
      <c r="I19" s="45"/>
      <c r="J19" s="45"/>
      <c r="K19" s="22"/>
      <c r="L19" s="22"/>
      <c r="M19" s="22"/>
      <c r="N19" s="23"/>
      <c r="O19" s="22"/>
    </row>
    <row r="20" spans="1:15" x14ac:dyDescent="0.25">
      <c r="A20" s="46"/>
      <c r="B20" s="30">
        <v>5</v>
      </c>
      <c r="C20" s="45"/>
      <c r="D20" s="45"/>
      <c r="E20" s="45"/>
      <c r="F20" s="49"/>
      <c r="G20" s="45"/>
      <c r="H20" s="45"/>
      <c r="I20" s="45"/>
      <c r="J20" s="45"/>
      <c r="K20" s="22"/>
      <c r="L20" s="22"/>
      <c r="M20" s="22"/>
      <c r="N20" s="23"/>
      <c r="O20" s="22"/>
    </row>
    <row r="21" spans="1:15" x14ac:dyDescent="0.25">
      <c r="A21" s="46"/>
      <c r="B21" s="30">
        <v>10</v>
      </c>
      <c r="C21" s="45"/>
      <c r="D21" s="45"/>
      <c r="E21" s="45"/>
      <c r="F21" s="49"/>
      <c r="G21" s="45"/>
      <c r="H21" s="45"/>
      <c r="I21" s="45"/>
      <c r="J21" s="45"/>
      <c r="K21" s="22"/>
      <c r="L21" s="22"/>
      <c r="M21" s="22"/>
      <c r="N21" s="23"/>
      <c r="O21" s="22"/>
    </row>
    <row r="22" spans="1:15" x14ac:dyDescent="0.25">
      <c r="A22" s="46"/>
      <c r="B22" s="30">
        <v>20</v>
      </c>
      <c r="C22" s="45"/>
      <c r="D22" s="45"/>
      <c r="E22" s="45"/>
      <c r="F22" s="49"/>
      <c r="G22" s="45"/>
      <c r="H22" s="45"/>
      <c r="I22" s="45"/>
      <c r="J22" s="45"/>
      <c r="K22" s="22"/>
      <c r="L22" s="22"/>
      <c r="M22" s="22"/>
      <c r="N22" s="23"/>
      <c r="O22" s="22"/>
    </row>
    <row r="23" spans="1:15" x14ac:dyDescent="0.25">
      <c r="A23" s="46"/>
      <c r="B23" s="30">
        <v>50</v>
      </c>
      <c r="C23" s="45"/>
      <c r="D23" s="45"/>
      <c r="E23" s="45"/>
      <c r="F23" s="49"/>
      <c r="G23" s="45"/>
      <c r="H23" s="45"/>
      <c r="I23" s="45"/>
      <c r="J23" s="45"/>
      <c r="K23" s="22"/>
      <c r="L23" s="22"/>
      <c r="M23" s="22"/>
      <c r="N23" s="23"/>
      <c r="O23" s="22"/>
    </row>
    <row r="24" spans="1:15" x14ac:dyDescent="0.25">
      <c r="A24" s="46"/>
      <c r="B24" s="30">
        <v>100</v>
      </c>
      <c r="C24" s="45"/>
      <c r="D24" s="45"/>
      <c r="E24" s="45"/>
      <c r="F24" s="49"/>
      <c r="G24" s="45"/>
      <c r="H24" s="45"/>
      <c r="I24" s="45"/>
      <c r="J24" s="45"/>
      <c r="K24" s="22"/>
      <c r="L24" s="22"/>
      <c r="M24" s="22"/>
      <c r="N24" s="23"/>
      <c r="O24" s="22"/>
    </row>
    <row r="25" spans="1:15" x14ac:dyDescent="0.25">
      <c r="A25" s="45" t="s">
        <v>15</v>
      </c>
      <c r="B25" s="3">
        <v>1</v>
      </c>
      <c r="C25" s="45"/>
      <c r="D25" s="45"/>
      <c r="E25" s="45"/>
      <c r="F25" s="49"/>
      <c r="G25" s="45"/>
      <c r="H25" s="45"/>
      <c r="I25" s="45"/>
      <c r="J25" s="45"/>
      <c r="K25" s="4">
        <f>AVERAGE(DataExp1.1!B31:B35)</f>
        <v>69.119033281650658</v>
      </c>
      <c r="L25" s="4">
        <f>AVERAGE(DataExp1.1!C31:C35)</f>
        <v>9.1400504790035715</v>
      </c>
      <c r="M25" s="4">
        <f>AVERAGE(DataExp1.1!D31:D35)</f>
        <v>6.2164238822761397E-2</v>
      </c>
      <c r="N25" s="4">
        <f>AVERAGE(DataExp1.1!E31:E35)</f>
        <v>1.8067907660100239E-5</v>
      </c>
      <c r="O25" s="4">
        <f>AVERAGE(DataExp1.1!F31:F35)</f>
        <v>2.0296193599700878</v>
      </c>
    </row>
    <row r="26" spans="1:15" x14ac:dyDescent="0.25">
      <c r="A26" s="45"/>
      <c r="B26" s="3">
        <v>3</v>
      </c>
      <c r="C26" s="45"/>
      <c r="D26" s="45"/>
      <c r="E26" s="45"/>
      <c r="F26" s="49"/>
      <c r="G26" s="45"/>
      <c r="H26" s="45"/>
      <c r="I26" s="45"/>
      <c r="J26" s="45"/>
      <c r="K26" s="4" t="e">
        <f>AVERAGE(DataExp1.1!#REF!)</f>
        <v>#REF!</v>
      </c>
      <c r="L26" s="4" t="e">
        <f>AVERAGE(DataExp1.1!#REF!)</f>
        <v>#REF!</v>
      </c>
      <c r="M26" s="4">
        <v>8.8175866468285097E-2</v>
      </c>
      <c r="N26" s="18">
        <v>2.79669169855113E-5</v>
      </c>
      <c r="O26" s="4" t="e">
        <f>AVERAGE(DataExp1.1!#REF!)</f>
        <v>#REF!</v>
      </c>
    </row>
    <row r="27" spans="1:15" x14ac:dyDescent="0.25">
      <c r="A27" s="45"/>
      <c r="B27" s="3">
        <v>5</v>
      </c>
      <c r="C27" s="45"/>
      <c r="D27" s="45"/>
      <c r="E27" s="45"/>
      <c r="F27" s="49"/>
      <c r="G27" s="45"/>
      <c r="H27" s="45"/>
      <c r="I27" s="45"/>
      <c r="J27" s="45"/>
      <c r="K27" s="4" t="e">
        <f>AVERAGE(DataExp1.1!#REF!)</f>
        <v>#REF!</v>
      </c>
      <c r="L27" s="4" t="e">
        <f>AVERAGE(DataExp1.1!#REF!)</f>
        <v>#REF!</v>
      </c>
      <c r="M27" s="4">
        <v>8.8376119113808799E-2</v>
      </c>
      <c r="N27" s="18">
        <v>2.8023187480955202E-5</v>
      </c>
      <c r="O27" s="4" t="e">
        <f>AVERAGE(DataExp1.1!#REF!)</f>
        <v>#REF!</v>
      </c>
    </row>
    <row r="28" spans="1:15" x14ac:dyDescent="0.25">
      <c r="A28" s="45"/>
      <c r="B28" s="3">
        <v>10</v>
      </c>
      <c r="C28" s="45"/>
      <c r="D28" s="45"/>
      <c r="E28" s="45"/>
      <c r="F28" s="49"/>
      <c r="G28" s="45"/>
      <c r="H28" s="45"/>
      <c r="I28" s="45"/>
      <c r="J28" s="45"/>
      <c r="K28" s="4" t="e">
        <f>AVERAGE(DataExp1.1!#REF!)</f>
        <v>#REF!</v>
      </c>
      <c r="L28" s="4" t="e">
        <f>AVERAGE(DataExp1.1!#REF!)</f>
        <v>#REF!</v>
      </c>
      <c r="M28" s="4">
        <v>8.81585941138084E-2</v>
      </c>
      <c r="N28" s="18">
        <v>2.7971865110220399E-5</v>
      </c>
      <c r="O28" s="4" t="e">
        <f>AVERAGE(DataExp1.1!#REF!)</f>
        <v>#REF!</v>
      </c>
    </row>
    <row r="29" spans="1:15" x14ac:dyDescent="0.25">
      <c r="A29" s="45"/>
      <c r="B29" s="3">
        <v>20</v>
      </c>
      <c r="C29" s="45"/>
      <c r="D29" s="45"/>
      <c r="E29" s="45"/>
      <c r="F29" s="49"/>
      <c r="G29" s="45"/>
      <c r="H29" s="45"/>
      <c r="I29" s="45"/>
      <c r="J29" s="45"/>
      <c r="K29" s="4"/>
      <c r="L29" s="4"/>
      <c r="M29" s="4"/>
      <c r="N29" s="18"/>
      <c r="O29" s="4"/>
    </row>
    <row r="30" spans="1:15" x14ac:dyDescent="0.25">
      <c r="A30" s="45"/>
      <c r="B30" s="3">
        <v>50</v>
      </c>
      <c r="C30" s="45"/>
      <c r="D30" s="45"/>
      <c r="E30" s="45"/>
      <c r="F30" s="49"/>
      <c r="G30" s="45"/>
      <c r="H30" s="45"/>
      <c r="I30" s="45"/>
      <c r="J30" s="45"/>
      <c r="K30" s="4"/>
      <c r="L30" s="4"/>
      <c r="M30" s="4"/>
      <c r="N30" s="18"/>
      <c r="O30" s="4"/>
    </row>
    <row r="31" spans="1:15" x14ac:dyDescent="0.25">
      <c r="A31" s="45"/>
      <c r="B31" s="3">
        <v>100</v>
      </c>
      <c r="C31" s="45"/>
      <c r="D31" s="45"/>
      <c r="E31" s="45"/>
      <c r="F31" s="47"/>
      <c r="G31" s="45"/>
      <c r="H31" s="45"/>
      <c r="I31" s="45"/>
      <c r="J31" s="45"/>
      <c r="K31" s="4"/>
      <c r="L31" s="4"/>
      <c r="M31" s="4"/>
      <c r="N31" s="18"/>
      <c r="O31" s="4"/>
    </row>
    <row r="32" spans="1:15" x14ac:dyDescent="0.25">
      <c r="A32" s="52" t="s">
        <v>12</v>
      </c>
      <c r="B32" s="3">
        <v>1</v>
      </c>
      <c r="C32" s="45" t="s">
        <v>24</v>
      </c>
      <c r="D32" s="45">
        <v>128</v>
      </c>
      <c r="E32" s="45">
        <v>128</v>
      </c>
      <c r="F32" s="53">
        <v>1.1200000000000001</v>
      </c>
      <c r="G32" s="45">
        <v>1</v>
      </c>
      <c r="H32" s="45">
        <v>1</v>
      </c>
      <c r="I32" s="45">
        <v>128</v>
      </c>
      <c r="J32" s="45">
        <v>128</v>
      </c>
      <c r="K32" s="3" t="e">
        <f>AVERAGE(DataExp1.1!#REF!)</f>
        <v>#REF!</v>
      </c>
      <c r="L32" s="3" t="e">
        <f>AVERAGE(DataExp1.1!#REF!)</f>
        <v>#REF!</v>
      </c>
      <c r="M32" s="4">
        <v>1035.7896129462799</v>
      </c>
      <c r="N32" s="18">
        <v>5.95739397649482E-3</v>
      </c>
      <c r="O32" s="4">
        <v>12.759822845458901</v>
      </c>
    </row>
    <row r="33" spans="1:15" x14ac:dyDescent="0.25">
      <c r="A33" s="52"/>
      <c r="B33" s="3">
        <v>3</v>
      </c>
      <c r="C33" s="45"/>
      <c r="D33" s="45"/>
      <c r="E33" s="45"/>
      <c r="F33" s="49"/>
      <c r="G33" s="45"/>
      <c r="H33" s="45"/>
      <c r="I33" s="45"/>
      <c r="J33" s="45"/>
      <c r="K33" s="3" t="e">
        <f>AVERAGE(DataExp1.1!#REF!)</f>
        <v>#REF!</v>
      </c>
      <c r="L33" s="3" t="e">
        <f>AVERAGE(DataExp1.1!#REF!)</f>
        <v>#REF!</v>
      </c>
      <c r="M33" s="4">
        <v>1685.75088883886</v>
      </c>
      <c r="N33" s="18">
        <v>1.1219430173259401E-2</v>
      </c>
      <c r="O33" s="4">
        <v>12.8247382640838</v>
      </c>
    </row>
    <row r="34" spans="1:15" x14ac:dyDescent="0.25">
      <c r="A34" s="52"/>
      <c r="B34" s="3">
        <v>5</v>
      </c>
      <c r="C34" s="45"/>
      <c r="D34" s="45"/>
      <c r="E34" s="45"/>
      <c r="F34" s="49"/>
      <c r="G34" s="45"/>
      <c r="H34" s="45"/>
      <c r="I34" s="45"/>
      <c r="J34" s="45"/>
      <c r="K34" s="3" t="e">
        <f>AVERAGE(DataExp1.1!#REF!)</f>
        <v>#REF!</v>
      </c>
      <c r="L34" s="3" t="e">
        <f>AVERAGE(DataExp1.1!#REF!)</f>
        <v>#REF!</v>
      </c>
      <c r="M34" s="4">
        <v>1984.11291473147</v>
      </c>
      <c r="N34" s="18">
        <v>1.31972764989438E-2</v>
      </c>
      <c r="O34" s="4">
        <v>12.9234986305236</v>
      </c>
    </row>
    <row r="35" spans="1:15" x14ac:dyDescent="0.25">
      <c r="A35" s="52"/>
      <c r="B35" s="3">
        <v>10</v>
      </c>
      <c r="C35" s="45"/>
      <c r="D35" s="45"/>
      <c r="E35" s="45"/>
      <c r="F35" s="49"/>
      <c r="G35" s="45"/>
      <c r="H35" s="45"/>
      <c r="I35" s="45"/>
      <c r="J35" s="45"/>
      <c r="K35" s="3" t="e">
        <f>AVERAGE(DataExp1.1!#REF!)</f>
        <v>#REF!</v>
      </c>
      <c r="L35" s="3" t="e">
        <f>AVERAGE(DataExp1.1!#REF!)</f>
        <v>#REF!</v>
      </c>
      <c r="M35" s="4">
        <v>2183.88837946289</v>
      </c>
      <c r="N35" s="18">
        <v>1.4378549136786E-2</v>
      </c>
      <c r="O35" s="4">
        <v>14.266155481338499</v>
      </c>
    </row>
    <row r="36" spans="1:15" x14ac:dyDescent="0.25">
      <c r="A36" s="52"/>
      <c r="B36" s="3">
        <v>20</v>
      </c>
      <c r="C36" s="45"/>
      <c r="D36" s="45"/>
      <c r="E36" s="45"/>
      <c r="F36" s="49"/>
      <c r="G36" s="45"/>
      <c r="H36" s="45"/>
      <c r="I36" s="45"/>
      <c r="J36" s="45"/>
      <c r="K36" s="3"/>
      <c r="L36" s="3"/>
      <c r="M36" s="4"/>
      <c r="N36" s="18"/>
      <c r="O36" s="4"/>
    </row>
    <row r="37" spans="1:15" x14ac:dyDescent="0.25">
      <c r="A37" s="52"/>
      <c r="B37" s="3">
        <v>50</v>
      </c>
      <c r="C37" s="45"/>
      <c r="D37" s="45"/>
      <c r="E37" s="45"/>
      <c r="F37" s="49"/>
      <c r="G37" s="45"/>
      <c r="H37" s="45"/>
      <c r="I37" s="45"/>
      <c r="J37" s="45"/>
      <c r="K37" s="3"/>
      <c r="L37" s="3"/>
      <c r="M37" s="4"/>
      <c r="N37" s="18"/>
      <c r="O37" s="4"/>
    </row>
    <row r="38" spans="1:15" x14ac:dyDescent="0.25">
      <c r="A38" s="52"/>
      <c r="B38" s="3">
        <v>100</v>
      </c>
      <c r="C38" s="45"/>
      <c r="D38" s="45"/>
      <c r="E38" s="45"/>
      <c r="F38" s="49"/>
      <c r="G38" s="45"/>
      <c r="H38" s="45"/>
      <c r="I38" s="45"/>
      <c r="J38" s="45"/>
      <c r="K38" s="3"/>
      <c r="L38" s="3"/>
      <c r="M38" s="4"/>
      <c r="N38" s="18"/>
      <c r="O38" s="4"/>
    </row>
    <row r="39" spans="1:15" x14ac:dyDescent="0.25">
      <c r="A39" s="50" t="s">
        <v>13</v>
      </c>
      <c r="B39" s="9">
        <v>1</v>
      </c>
      <c r="C39" s="45"/>
      <c r="D39" s="45"/>
      <c r="E39" s="45"/>
      <c r="F39" s="49"/>
      <c r="G39" s="45"/>
      <c r="H39" s="45"/>
      <c r="I39" s="45"/>
      <c r="J39" s="45"/>
      <c r="K39" s="9" t="e">
        <f>AVERAGE(DataExp1.1!#REF!)</f>
        <v>#REF!</v>
      </c>
      <c r="L39" s="9" t="e">
        <f>AVERAGE(DataExp1.1!#REF!)</f>
        <v>#REF!</v>
      </c>
      <c r="M39" s="14">
        <v>140.34726294628899</v>
      </c>
      <c r="N39" s="19">
        <v>8.6437071411442801E-2</v>
      </c>
      <c r="O39" s="14">
        <v>12.795346260070801</v>
      </c>
    </row>
    <row r="40" spans="1:15" x14ac:dyDescent="0.25">
      <c r="A40" s="50"/>
      <c r="B40" s="9">
        <v>3</v>
      </c>
      <c r="C40" s="45"/>
      <c r="D40" s="45"/>
      <c r="E40" s="45"/>
      <c r="F40" s="49"/>
      <c r="G40" s="45"/>
      <c r="H40" s="45"/>
      <c r="I40" s="45"/>
      <c r="J40" s="45"/>
      <c r="K40" s="9" t="e">
        <f>AVERAGE(DataExp1.1!#REF!)</f>
        <v>#REF!</v>
      </c>
      <c r="L40" s="9" t="e">
        <f>AVERAGE(DataExp1.1!#REF!)</f>
        <v>#REF!</v>
      </c>
      <c r="M40" s="14">
        <v>336.02303883887203</v>
      </c>
      <c r="N40" s="19">
        <v>0.307117723102377</v>
      </c>
      <c r="O40" s="14">
        <v>12.8078730106353</v>
      </c>
    </row>
    <row r="41" spans="1:15" x14ac:dyDescent="0.25">
      <c r="A41" s="50"/>
      <c r="B41" s="9">
        <v>5</v>
      </c>
      <c r="C41" s="45"/>
      <c r="D41" s="45"/>
      <c r="E41" s="45"/>
      <c r="F41" s="49"/>
      <c r="G41" s="45"/>
      <c r="H41" s="45"/>
      <c r="I41" s="45"/>
      <c r="J41" s="45"/>
      <c r="K41" s="9" t="e">
        <f>AVERAGE(DataExp1.1!#REF!)</f>
        <v>#REF!</v>
      </c>
      <c r="L41" s="9" t="e">
        <f>AVERAGE(DataExp1.1!#REF!)</f>
        <v>#REF!</v>
      </c>
      <c r="M41" s="14">
        <v>351.22411473145002</v>
      </c>
      <c r="N41" s="19">
        <v>0.31561186164217703</v>
      </c>
      <c r="O41" s="14">
        <v>26.1628239154815</v>
      </c>
    </row>
    <row r="42" spans="1:15" x14ac:dyDescent="0.25">
      <c r="A42" s="50"/>
      <c r="B42" s="9">
        <v>10</v>
      </c>
      <c r="C42" s="45"/>
      <c r="D42" s="45"/>
      <c r="E42" s="45"/>
      <c r="F42" s="49"/>
      <c r="G42" s="45"/>
      <c r="H42" s="45"/>
      <c r="I42" s="45"/>
      <c r="J42" s="45"/>
      <c r="K42" s="9" t="e">
        <f>AVERAGE(DataExp1.1!#REF!)</f>
        <v>#REF!</v>
      </c>
      <c r="L42" s="9" t="e">
        <f>AVERAGE(DataExp1.1!#REF!)</f>
        <v>#REF!</v>
      </c>
      <c r="M42" s="14">
        <v>357.21115357032102</v>
      </c>
      <c r="N42" s="19">
        <v>0.31739714978690298</v>
      </c>
      <c r="O42" s="14">
        <v>26.592686176299999</v>
      </c>
    </row>
    <row r="43" spans="1:15" x14ac:dyDescent="0.25">
      <c r="A43" s="50"/>
      <c r="B43" s="9">
        <v>20</v>
      </c>
      <c r="C43" s="45"/>
      <c r="D43" s="45"/>
      <c r="E43" s="45"/>
      <c r="F43" s="49"/>
      <c r="G43" s="45"/>
      <c r="H43" s="45"/>
      <c r="I43" s="45"/>
      <c r="J43" s="45"/>
      <c r="K43" s="9"/>
      <c r="L43" s="9"/>
      <c r="M43" s="14"/>
      <c r="N43" s="19"/>
      <c r="O43" s="14"/>
    </row>
    <row r="44" spans="1:15" x14ac:dyDescent="0.25">
      <c r="A44" s="50"/>
      <c r="B44" s="9">
        <v>50</v>
      </c>
      <c r="C44" s="45"/>
      <c r="D44" s="45"/>
      <c r="E44" s="45"/>
      <c r="F44" s="49"/>
      <c r="G44" s="45"/>
      <c r="H44" s="45"/>
      <c r="I44" s="45"/>
      <c r="J44" s="45"/>
      <c r="K44" s="9"/>
      <c r="L44" s="9"/>
      <c r="M44" s="14"/>
      <c r="N44" s="19"/>
      <c r="O44" s="14"/>
    </row>
    <row r="45" spans="1:15" x14ac:dyDescent="0.25">
      <c r="A45" s="50"/>
      <c r="B45" s="9">
        <v>100</v>
      </c>
      <c r="C45" s="45"/>
      <c r="D45" s="45"/>
      <c r="E45" s="45"/>
      <c r="F45" s="49"/>
      <c r="G45" s="45"/>
      <c r="H45" s="45"/>
      <c r="I45" s="45"/>
      <c r="J45" s="45"/>
      <c r="K45" s="9"/>
      <c r="L45" s="9"/>
      <c r="M45" s="14"/>
      <c r="N45" s="19"/>
      <c r="O45" s="9"/>
    </row>
    <row r="46" spans="1:15" x14ac:dyDescent="0.25">
      <c r="A46" s="51" t="s">
        <v>14</v>
      </c>
      <c r="B46" s="30">
        <v>1</v>
      </c>
      <c r="C46" s="45"/>
      <c r="D46" s="45"/>
      <c r="E46" s="45"/>
      <c r="F46" s="49"/>
      <c r="G46" s="45"/>
      <c r="H46" s="45"/>
      <c r="I46" s="45"/>
      <c r="J46" s="45"/>
      <c r="K46" s="22" t="e">
        <f>AVERAGE(DataExp1.1!#REF!)</f>
        <v>#REF!</v>
      </c>
      <c r="L46" s="22" t="e">
        <f>AVERAGE(DataExp1.1!#REF!)</f>
        <v>#REF!</v>
      </c>
      <c r="M46" s="22">
        <v>8.3970028801535798E-2</v>
      </c>
      <c r="N46" s="23">
        <v>3.6284487521842497E-5</v>
      </c>
      <c r="O46" s="22">
        <v>0.30750107765197698</v>
      </c>
    </row>
    <row r="47" spans="1:15" x14ac:dyDescent="0.25">
      <c r="A47" s="51"/>
      <c r="B47" s="30">
        <v>3</v>
      </c>
      <c r="C47" s="45"/>
      <c r="D47" s="45"/>
      <c r="E47" s="45"/>
      <c r="F47" s="49"/>
      <c r="G47" s="45"/>
      <c r="H47" s="45"/>
      <c r="I47" s="45"/>
      <c r="J47" s="45"/>
      <c r="K47" s="22" t="e">
        <f>AVERAGE(DataExp1.1!#REF!)</f>
        <v>#REF!</v>
      </c>
      <c r="L47" s="22" t="e">
        <f>AVERAGE(DataExp1.1!#REF!)</f>
        <v>#REF!</v>
      </c>
      <c r="M47" s="22">
        <v>9.5270057603071695E-2</v>
      </c>
      <c r="N47" s="23">
        <v>4.9660843797880298E-5</v>
      </c>
      <c r="O47" s="22">
        <v>0.36651349067687899</v>
      </c>
    </row>
    <row r="48" spans="1:15" x14ac:dyDescent="0.25">
      <c r="A48" s="51"/>
      <c r="B48" s="30">
        <v>5</v>
      </c>
      <c r="C48" s="45"/>
      <c r="D48" s="45"/>
      <c r="E48" s="45"/>
      <c r="F48" s="49"/>
      <c r="G48" s="45"/>
      <c r="H48" s="45"/>
      <c r="I48" s="45"/>
      <c r="J48" s="45"/>
      <c r="K48" s="22" t="e">
        <f>AVERAGE(DataExp1.1!#REF!)</f>
        <v>#REF!</v>
      </c>
      <c r="L48" s="22" t="e">
        <f>AVERAGE(DataExp1.1!#REF!)</f>
        <v>#REF!</v>
      </c>
      <c r="M48" s="22">
        <v>9.6327586404607604E-2</v>
      </c>
      <c r="N48" s="23">
        <v>4.9897249721340198E-5</v>
      </c>
      <c r="O48" s="22">
        <v>0.397212743759155</v>
      </c>
    </row>
    <row r="49" spans="1:15" x14ac:dyDescent="0.25">
      <c r="A49" s="51"/>
      <c r="B49" s="31">
        <v>10</v>
      </c>
      <c r="C49" s="45"/>
      <c r="D49" s="45"/>
      <c r="E49" s="45"/>
      <c r="F49" s="49"/>
      <c r="G49" s="45"/>
      <c r="H49" s="45"/>
      <c r="I49" s="45"/>
      <c r="J49" s="45"/>
      <c r="K49" s="22" t="e">
        <f>AVERAGE(DataExp1.1!#REF!)</f>
        <v>#REF!</v>
      </c>
      <c r="L49" s="22" t="e">
        <f>AVERAGE(DataExp1.1!#REF!)</f>
        <v>#REF!</v>
      </c>
      <c r="M49" s="22">
        <v>9.6205115206143499E-2</v>
      </c>
      <c r="N49" s="23">
        <v>4.9853940035316602E-5</v>
      </c>
      <c r="O49" s="22">
        <v>0.36162972450256298</v>
      </c>
    </row>
    <row r="50" spans="1:15" x14ac:dyDescent="0.25">
      <c r="A50" s="51"/>
      <c r="B50" s="31">
        <v>20</v>
      </c>
      <c r="C50" s="45"/>
      <c r="D50" s="45"/>
      <c r="E50" s="45"/>
      <c r="F50" s="49"/>
      <c r="G50" s="45"/>
      <c r="H50" s="45"/>
      <c r="I50" s="45"/>
      <c r="J50" s="45"/>
      <c r="K50" s="22"/>
      <c r="L50" s="22"/>
      <c r="M50" s="22"/>
      <c r="N50" s="23"/>
      <c r="O50" s="22"/>
    </row>
    <row r="51" spans="1:15" x14ac:dyDescent="0.25">
      <c r="A51" s="51"/>
      <c r="B51" s="31">
        <v>50</v>
      </c>
      <c r="C51" s="45"/>
      <c r="D51" s="45"/>
      <c r="E51" s="45"/>
      <c r="F51" s="49"/>
      <c r="G51" s="45"/>
      <c r="H51" s="45"/>
      <c r="I51" s="45"/>
      <c r="J51" s="45"/>
      <c r="K51" s="22"/>
      <c r="L51" s="22"/>
      <c r="M51" s="22"/>
      <c r="N51" s="23"/>
      <c r="O51" s="22"/>
    </row>
    <row r="52" spans="1:15" x14ac:dyDescent="0.25">
      <c r="A52" s="51"/>
      <c r="B52" s="31">
        <v>100</v>
      </c>
      <c r="C52" s="45"/>
      <c r="D52" s="45"/>
      <c r="E52" s="45"/>
      <c r="F52" s="49"/>
      <c r="G52" s="45"/>
      <c r="H52" s="45"/>
      <c r="I52" s="45"/>
      <c r="J52" s="45"/>
      <c r="K52" s="30"/>
      <c r="L52" s="30"/>
      <c r="M52" s="22"/>
      <c r="N52" s="23"/>
      <c r="O52" s="30"/>
    </row>
    <row r="53" spans="1:15" x14ac:dyDescent="0.25">
      <c r="A53" s="50" t="s">
        <v>15</v>
      </c>
      <c r="B53" s="9">
        <v>1</v>
      </c>
      <c r="C53" s="45"/>
      <c r="D53" s="45"/>
      <c r="E53" s="45"/>
      <c r="F53" s="49"/>
      <c r="G53" s="45"/>
      <c r="H53" s="45"/>
      <c r="I53" s="45"/>
      <c r="J53" s="45"/>
      <c r="K53" s="14" t="e">
        <f>AVERAGE(DataExp1.1!#REF!)</f>
        <v>#REF!</v>
      </c>
      <c r="L53" s="14" t="e">
        <f>AVERAGE(DataExp1.1!#REF!)</f>
        <v>#REF!</v>
      </c>
      <c r="M53" s="14">
        <v>0.22719339629037999</v>
      </c>
      <c r="N53" s="19">
        <v>9.04054493084061E-5</v>
      </c>
      <c r="O53" s="14">
        <v>12.858536243438699</v>
      </c>
    </row>
    <row r="54" spans="1:15" x14ac:dyDescent="0.25">
      <c r="A54" s="50"/>
      <c r="B54" s="9">
        <v>3</v>
      </c>
      <c r="C54" s="45"/>
      <c r="D54" s="45"/>
      <c r="E54" s="45"/>
      <c r="F54" s="49"/>
      <c r="G54" s="45"/>
      <c r="H54" s="45"/>
      <c r="I54" s="45"/>
      <c r="J54" s="45"/>
      <c r="K54" s="14" t="e">
        <f>AVERAGE(DataExp1.1!#REF!)</f>
        <v>#REF!</v>
      </c>
      <c r="L54" s="14" t="e">
        <f>AVERAGE(DataExp1.1!#REF!)</f>
        <v>#REF!</v>
      </c>
      <c r="M54" s="14">
        <v>0.334194763871137</v>
      </c>
      <c r="N54" s="19">
        <v>1.6040279311206501E-4</v>
      </c>
      <c r="O54" s="14">
        <v>12.8858025074005</v>
      </c>
    </row>
    <row r="55" spans="1:15" x14ac:dyDescent="0.25">
      <c r="A55" s="50"/>
      <c r="B55" s="9">
        <v>5</v>
      </c>
      <c r="C55" s="45"/>
      <c r="D55" s="45"/>
      <c r="E55" s="45"/>
      <c r="F55" s="49"/>
      <c r="G55" s="45"/>
      <c r="H55" s="45"/>
      <c r="I55" s="45"/>
      <c r="J55" s="45"/>
      <c r="K55" s="14" t="e">
        <f>AVERAGE(DataExp1.1!#REF!)</f>
        <v>#REF!</v>
      </c>
      <c r="L55" s="14" t="e">
        <f>AVERAGE(DataExp1.1!#REF!)</f>
        <v>#REF!</v>
      </c>
      <c r="M55" s="14">
        <v>0.33717530645189397</v>
      </c>
      <c r="N55" s="19">
        <v>1.6153492724404301E-4</v>
      </c>
      <c r="O55" s="14">
        <v>13.6702349185943</v>
      </c>
    </row>
    <row r="56" spans="1:15" x14ac:dyDescent="0.25">
      <c r="A56" s="50"/>
      <c r="B56" s="9">
        <v>10</v>
      </c>
      <c r="C56" s="45"/>
      <c r="D56" s="45"/>
      <c r="E56" s="45"/>
      <c r="F56" s="49"/>
      <c r="G56" s="45"/>
      <c r="H56" s="45"/>
      <c r="I56" s="45"/>
      <c r="J56" s="45"/>
      <c r="K56" s="14" t="e">
        <f>AVERAGE(DataExp1.1!#REF!)</f>
        <v>#REF!</v>
      </c>
      <c r="L56" s="14" t="e">
        <f>AVERAGE(DataExp1.1!#REF!)</f>
        <v>#REF!</v>
      </c>
      <c r="M56" s="14">
        <v>0.33856701443077702</v>
      </c>
      <c r="N56" s="19">
        <v>1.6191006940398199E-4</v>
      </c>
      <c r="O56" s="14">
        <v>35.664546728134098</v>
      </c>
    </row>
    <row r="57" spans="1:15" x14ac:dyDescent="0.25">
      <c r="A57" s="50"/>
      <c r="B57" s="9">
        <v>20</v>
      </c>
      <c r="C57" s="45"/>
      <c r="D57" s="45"/>
      <c r="E57" s="45"/>
      <c r="F57" s="49"/>
      <c r="G57" s="45"/>
      <c r="H57" s="45"/>
      <c r="I57" s="45"/>
      <c r="J57" s="45"/>
      <c r="K57" s="14"/>
      <c r="L57" s="14"/>
      <c r="M57" s="14"/>
      <c r="N57" s="19"/>
      <c r="O57" s="14"/>
    </row>
    <row r="58" spans="1:15" x14ac:dyDescent="0.25">
      <c r="A58" s="50"/>
      <c r="B58" s="9">
        <v>50</v>
      </c>
      <c r="C58" s="45"/>
      <c r="D58" s="45"/>
      <c r="E58" s="45"/>
      <c r="F58" s="49"/>
      <c r="G58" s="45"/>
      <c r="H58" s="45"/>
      <c r="I58" s="45"/>
      <c r="J58" s="45"/>
      <c r="K58" s="14"/>
      <c r="L58" s="14"/>
      <c r="M58" s="14"/>
      <c r="N58" s="19"/>
      <c r="O58" s="14"/>
    </row>
    <row r="59" spans="1:15" x14ac:dyDescent="0.25">
      <c r="A59" s="50"/>
      <c r="B59" s="9">
        <v>100</v>
      </c>
      <c r="C59" s="45"/>
      <c r="D59" s="45"/>
      <c r="E59" s="45"/>
      <c r="F59" s="47"/>
      <c r="G59" s="45"/>
      <c r="H59" s="45"/>
      <c r="I59" s="45"/>
      <c r="J59" s="45"/>
      <c r="K59" s="9"/>
      <c r="L59" s="9"/>
      <c r="M59" s="14"/>
      <c r="N59" s="19"/>
      <c r="O59" s="9"/>
    </row>
  </sheetData>
  <mergeCells count="25">
    <mergeCell ref="A39:A45"/>
    <mergeCell ref="A46:A52"/>
    <mergeCell ref="A53:A59"/>
    <mergeCell ref="I4:I31"/>
    <mergeCell ref="J4:J31"/>
    <mergeCell ref="A32:A38"/>
    <mergeCell ref="C32:C59"/>
    <mergeCell ref="D32:D59"/>
    <mergeCell ref="E32:E59"/>
    <mergeCell ref="G32:G59"/>
    <mergeCell ref="H32:H59"/>
    <mergeCell ref="I32:I59"/>
    <mergeCell ref="J32:J59"/>
    <mergeCell ref="F32:F59"/>
    <mergeCell ref="A1:S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575D-E9A4-466E-9459-9B52AEDB3DA6}">
  <dimension ref="B1:V55"/>
  <sheetViews>
    <sheetView topLeftCell="A31" zoomScale="115" zoomScaleNormal="115" workbookViewId="0">
      <selection activeCell="G50" sqref="G50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1" max="11" width="9.42578125" bestFit="1" customWidth="1"/>
    <col min="13" max="13" width="8.140625" bestFit="1" customWidth="1"/>
    <col min="14" max="14" width="9.42578125" bestFit="1" customWidth="1"/>
  </cols>
  <sheetData>
    <row r="1" spans="2:22" x14ac:dyDescent="0.25">
      <c r="B1" s="32" t="s">
        <v>36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21"/>
    </row>
    <row r="2" spans="2:22" x14ac:dyDescent="0.25">
      <c r="B2" s="33" t="s">
        <v>19</v>
      </c>
      <c r="C2" s="34"/>
      <c r="D2" s="35"/>
      <c r="E2" s="33" t="s">
        <v>21</v>
      </c>
      <c r="F2" s="34"/>
      <c r="G2" s="35"/>
      <c r="H2" s="36" t="s">
        <v>22</v>
      </c>
      <c r="I2" s="37"/>
      <c r="J2" s="38"/>
      <c r="K2" s="39" t="s">
        <v>16</v>
      </c>
      <c r="L2" s="39"/>
      <c r="M2" s="39"/>
      <c r="N2" s="39" t="s">
        <v>37</v>
      </c>
      <c r="O2" s="39"/>
      <c r="P2" s="39"/>
      <c r="Q2" s="39" t="s">
        <v>38</v>
      </c>
      <c r="R2" s="39"/>
      <c r="S2" s="39"/>
      <c r="T2" s="39" t="s">
        <v>31</v>
      </c>
      <c r="U2" s="39"/>
      <c r="V2" s="39"/>
    </row>
    <row r="3" spans="2:22" ht="45" x14ac:dyDescent="0.25">
      <c r="B3" s="2" t="s">
        <v>20</v>
      </c>
      <c r="C3" s="2" t="s">
        <v>9</v>
      </c>
      <c r="D3" s="25" t="s">
        <v>30</v>
      </c>
      <c r="E3" s="2" t="s">
        <v>20</v>
      </c>
      <c r="F3" s="2" t="s">
        <v>9</v>
      </c>
      <c r="G3" s="25" t="s">
        <v>30</v>
      </c>
      <c r="H3" s="8" t="s">
        <v>20</v>
      </c>
      <c r="I3" s="8" t="s">
        <v>9</v>
      </c>
      <c r="J3" s="25" t="s">
        <v>30</v>
      </c>
      <c r="K3" s="8" t="s">
        <v>20</v>
      </c>
      <c r="L3" s="8" t="s">
        <v>9</v>
      </c>
      <c r="M3" s="25" t="s">
        <v>30</v>
      </c>
      <c r="N3" s="8" t="s">
        <v>20</v>
      </c>
      <c r="O3" s="8" t="s">
        <v>9</v>
      </c>
      <c r="P3" s="25" t="s">
        <v>30</v>
      </c>
      <c r="Q3" s="8" t="s">
        <v>20</v>
      </c>
      <c r="R3" s="8" t="s">
        <v>9</v>
      </c>
      <c r="S3" s="25" t="s">
        <v>30</v>
      </c>
      <c r="T3" s="8" t="s">
        <v>20</v>
      </c>
      <c r="U3" s="8" t="s">
        <v>9</v>
      </c>
      <c r="V3" s="25" t="s">
        <v>30</v>
      </c>
    </row>
    <row r="4" spans="2:22" x14ac:dyDescent="0.25">
      <c r="B4" s="4">
        <v>1422.6486110266001</v>
      </c>
      <c r="C4" s="4">
        <v>45.929811909532802</v>
      </c>
      <c r="D4" s="4">
        <v>11.247503519058199</v>
      </c>
      <c r="E4" s="5">
        <v>705.57961533727905</v>
      </c>
      <c r="F4" s="5">
        <v>23.691616665916101</v>
      </c>
      <c r="G4" s="5">
        <v>11.5416815280914</v>
      </c>
      <c r="H4" s="4">
        <v>445.21466785689103</v>
      </c>
      <c r="I4" s="4">
        <v>15.6372913539942</v>
      </c>
      <c r="J4" s="4">
        <v>11.7682547569274</v>
      </c>
      <c r="K4" s="5">
        <v>13.3974143910746</v>
      </c>
      <c r="L4" s="5">
        <v>2.8155392856069898</v>
      </c>
      <c r="M4" s="5">
        <v>11.6075575351715</v>
      </c>
      <c r="N4" s="5">
        <v>6.3181789085846596</v>
      </c>
      <c r="O4" s="5">
        <v>2.08095050376079</v>
      </c>
      <c r="P4" s="5">
        <v>12.9025807380676</v>
      </c>
      <c r="Q4" s="5"/>
      <c r="R4" s="5"/>
      <c r="S4" s="5"/>
      <c r="T4" s="5"/>
      <c r="U4" s="5"/>
      <c r="V4" s="5"/>
    </row>
    <row r="5" spans="2:22" x14ac:dyDescent="0.25">
      <c r="B5" s="4">
        <v>1294.61056839975</v>
      </c>
      <c r="C5" s="4">
        <v>41.8406649909926</v>
      </c>
      <c r="D5" s="4">
        <v>11.650307893753</v>
      </c>
      <c r="E5" s="5">
        <v>670.93315278182297</v>
      </c>
      <c r="F5" s="5">
        <v>23.104074526056401</v>
      </c>
      <c r="G5" s="5">
        <v>11.5775046348571</v>
      </c>
      <c r="H5" s="4">
        <v>452.90528389016202</v>
      </c>
      <c r="I5" s="4">
        <v>15.0143822234905</v>
      </c>
      <c r="J5" s="4">
        <v>11.707543134689301</v>
      </c>
      <c r="K5" s="5">
        <v>12.057505130767799</v>
      </c>
      <c r="L5" s="5">
        <v>2.5488516330603002</v>
      </c>
      <c r="M5" s="5">
        <v>12.1058855056762</v>
      </c>
      <c r="N5" s="5">
        <v>8.6164836784218899</v>
      </c>
      <c r="O5" s="5">
        <v>2.39237663692712</v>
      </c>
      <c r="P5" s="5">
        <v>12.5410010814666</v>
      </c>
      <c r="Q5" s="5"/>
      <c r="R5" s="5"/>
      <c r="S5" s="5"/>
      <c r="T5" s="5"/>
      <c r="U5" s="5"/>
      <c r="V5" s="5"/>
    </row>
    <row r="6" spans="2:22" x14ac:dyDescent="0.25">
      <c r="B6" s="4">
        <v>1289.0184630184999</v>
      </c>
      <c r="C6" s="4">
        <v>41.622930606020802</v>
      </c>
      <c r="D6" s="4">
        <v>11.7906243801116</v>
      </c>
      <c r="E6" s="5">
        <v>671.16566533489095</v>
      </c>
      <c r="F6" s="5">
        <v>23.600132749285098</v>
      </c>
      <c r="G6" s="5">
        <v>11.659604072570801</v>
      </c>
      <c r="H6" s="4">
        <v>382.52379452736102</v>
      </c>
      <c r="I6" s="4">
        <v>14.509195905931101</v>
      </c>
      <c r="J6" s="4">
        <v>11.6776049137115</v>
      </c>
      <c r="K6" s="5">
        <v>7.5331515490260204</v>
      </c>
      <c r="L6" s="5">
        <v>2.3080679106657098</v>
      </c>
      <c r="M6" s="5">
        <v>11.7908341884613</v>
      </c>
      <c r="N6" s="5">
        <v>9.3580003831549003</v>
      </c>
      <c r="O6" s="5">
        <v>1.8491858103760901</v>
      </c>
      <c r="P6" s="5">
        <v>12.6727230548858</v>
      </c>
      <c r="Q6" s="5"/>
      <c r="R6" s="5"/>
      <c r="S6" s="5"/>
      <c r="T6" s="5"/>
      <c r="U6" s="5"/>
      <c r="V6" s="5"/>
    </row>
    <row r="7" spans="2:22" x14ac:dyDescent="0.25">
      <c r="B7" s="4">
        <v>1296.2356591640801</v>
      </c>
      <c r="C7" s="4">
        <v>41.8761359103909</v>
      </c>
      <c r="D7" s="4">
        <v>11.498032569885201</v>
      </c>
      <c r="E7" s="5">
        <v>708.34939001939097</v>
      </c>
      <c r="F7" s="5">
        <v>24.184761438753998</v>
      </c>
      <c r="G7" s="5">
        <v>11.661856651306101</v>
      </c>
      <c r="H7" s="4">
        <v>447.07443383220698</v>
      </c>
      <c r="I7" s="4">
        <v>15.6069913344946</v>
      </c>
      <c r="J7" s="4">
        <v>11.606946945190399</v>
      </c>
      <c r="K7" s="5">
        <v>9.4122964525554504</v>
      </c>
      <c r="L7" s="5">
        <v>0.97370814509023795</v>
      </c>
      <c r="M7" s="5">
        <v>11.7539100646972</v>
      </c>
      <c r="N7" s="5">
        <v>6.6513361881346897</v>
      </c>
      <c r="O7" s="5">
        <v>2.4394343379781098</v>
      </c>
      <c r="P7" s="5">
        <v>12.7637286186218</v>
      </c>
      <c r="Q7" s="5"/>
      <c r="R7" s="5"/>
      <c r="S7" s="5"/>
      <c r="T7" s="5"/>
      <c r="U7" s="5"/>
      <c r="V7" s="5"/>
    </row>
    <row r="8" spans="2:22" x14ac:dyDescent="0.25">
      <c r="B8" s="4">
        <v>1289.0184630184999</v>
      </c>
      <c r="C8" s="4">
        <v>41.622930606020802</v>
      </c>
      <c r="D8" s="4">
        <v>11.680851459503099</v>
      </c>
      <c r="E8" s="5">
        <v>11.661856651306101</v>
      </c>
      <c r="F8" s="5">
        <v>23.650421254514399</v>
      </c>
      <c r="G8" s="5">
        <v>11.6667003631591</v>
      </c>
      <c r="H8" s="4">
        <v>442.05657317955303</v>
      </c>
      <c r="I8" s="4">
        <v>15.161364429356199</v>
      </c>
      <c r="J8" s="4">
        <v>11.557378768920801</v>
      </c>
      <c r="K8" s="5">
        <v>11.7908341884613</v>
      </c>
      <c r="L8" s="5">
        <v>2.0911466787725699</v>
      </c>
      <c r="M8" s="5">
        <v>11.981241464614801</v>
      </c>
      <c r="N8" s="5">
        <v>8.5318505891228398</v>
      </c>
      <c r="O8" s="5">
        <v>2.2158730862496099</v>
      </c>
      <c r="P8" s="5">
        <v>12.6539177894592</v>
      </c>
      <c r="Q8" s="5"/>
      <c r="R8" s="5"/>
      <c r="S8" s="5"/>
      <c r="T8" s="5"/>
      <c r="U8" s="5"/>
      <c r="V8" s="5"/>
    </row>
    <row r="9" spans="2:22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x14ac:dyDescent="0.25">
      <c r="B14" s="7"/>
      <c r="C14" s="7"/>
      <c r="D14" s="7"/>
    </row>
    <row r="15" spans="2:22" x14ac:dyDescent="0.25">
      <c r="B15" s="32" t="s">
        <v>39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21"/>
    </row>
    <row r="16" spans="2:22" x14ac:dyDescent="0.25">
      <c r="B16" s="33" t="s">
        <v>19</v>
      </c>
      <c r="C16" s="34"/>
      <c r="D16" s="35"/>
      <c r="E16" s="33" t="s">
        <v>21</v>
      </c>
      <c r="F16" s="34"/>
      <c r="G16" s="35"/>
      <c r="H16" s="36" t="s">
        <v>22</v>
      </c>
      <c r="I16" s="37"/>
      <c r="J16" s="38"/>
      <c r="K16" s="39" t="s">
        <v>16</v>
      </c>
      <c r="L16" s="39"/>
      <c r="M16" s="39"/>
      <c r="N16" s="39" t="s">
        <v>37</v>
      </c>
      <c r="O16" s="39"/>
      <c r="P16" s="39"/>
      <c r="Q16" s="39" t="s">
        <v>38</v>
      </c>
      <c r="R16" s="39"/>
      <c r="S16" s="39"/>
      <c r="T16" s="39" t="s">
        <v>31</v>
      </c>
      <c r="U16" s="39"/>
      <c r="V16" s="39"/>
    </row>
    <row r="17" spans="2:22" ht="45" x14ac:dyDescent="0.25">
      <c r="B17" s="2" t="s">
        <v>20</v>
      </c>
      <c r="C17" s="2" t="s">
        <v>9</v>
      </c>
      <c r="D17" s="25" t="s">
        <v>30</v>
      </c>
      <c r="E17" s="2" t="s">
        <v>20</v>
      </c>
      <c r="F17" s="2" t="s">
        <v>9</v>
      </c>
      <c r="G17" s="25" t="s">
        <v>30</v>
      </c>
      <c r="H17" s="8" t="s">
        <v>20</v>
      </c>
      <c r="I17" s="8" t="s">
        <v>9</v>
      </c>
      <c r="J17" s="25" t="s">
        <v>30</v>
      </c>
      <c r="K17" s="8" t="s">
        <v>20</v>
      </c>
      <c r="L17" s="8" t="s">
        <v>9</v>
      </c>
      <c r="M17" s="25" t="s">
        <v>30</v>
      </c>
      <c r="N17" s="8" t="s">
        <v>20</v>
      </c>
      <c r="O17" s="8" t="s">
        <v>9</v>
      </c>
      <c r="P17" s="25" t="s">
        <v>30</v>
      </c>
      <c r="Q17" s="8" t="s">
        <v>20</v>
      </c>
      <c r="R17" s="8" t="s">
        <v>9</v>
      </c>
      <c r="S17" s="25" t="s">
        <v>30</v>
      </c>
      <c r="T17" s="8" t="s">
        <v>20</v>
      </c>
      <c r="U17" s="8" t="s">
        <v>9</v>
      </c>
      <c r="V17" s="25" t="s">
        <v>30</v>
      </c>
    </row>
    <row r="18" spans="2:22" x14ac:dyDescent="0.25">
      <c r="B18" s="4">
        <v>3148.1656097576601</v>
      </c>
      <c r="C18" s="4">
        <v>101.370852177266</v>
      </c>
      <c r="D18" s="4">
        <v>11.349320650100699</v>
      </c>
      <c r="E18" s="5">
        <v>59.939718548351003</v>
      </c>
      <c r="F18" s="5">
        <v>2.8714548974467702</v>
      </c>
      <c r="G18" s="5">
        <v>11.4287197589874</v>
      </c>
      <c r="H18" s="4">
        <v>10.325995288497399</v>
      </c>
      <c r="I18" s="4">
        <v>1.55053510934903</v>
      </c>
      <c r="J18" s="4">
        <v>11.8249926567077</v>
      </c>
      <c r="K18" s="5">
        <v>119.256302244765</v>
      </c>
      <c r="L18" s="5">
        <v>4.0501513115032699</v>
      </c>
      <c r="M18" s="5">
        <v>11.631165742874099</v>
      </c>
      <c r="N18" s="5">
        <v>109.057293766711</v>
      </c>
      <c r="O18" s="5">
        <v>4.2055400842948201</v>
      </c>
      <c r="P18" s="5">
        <v>11.652021408081</v>
      </c>
      <c r="Q18" s="5"/>
      <c r="R18" s="5"/>
      <c r="S18" s="5"/>
      <c r="T18" s="5"/>
      <c r="U18" s="5"/>
      <c r="V18" s="5"/>
    </row>
    <row r="19" spans="2:22" x14ac:dyDescent="0.25">
      <c r="B19" s="4">
        <v>3136.4726416762201</v>
      </c>
      <c r="C19" s="4">
        <v>101.013057142517</v>
      </c>
      <c r="D19" s="4">
        <v>11.4921865463256</v>
      </c>
      <c r="E19" s="5">
        <v>117.17191609744501</v>
      </c>
      <c r="F19" s="5">
        <v>4.4313448497848</v>
      </c>
      <c r="G19" s="5">
        <v>11.4343502521514</v>
      </c>
      <c r="H19" s="4">
        <v>53.787521585037098</v>
      </c>
      <c r="I19" s="4">
        <v>2.5686537043532498</v>
      </c>
      <c r="J19" s="4">
        <v>11.736212730407701</v>
      </c>
      <c r="K19" s="5">
        <v>91.182858257015695</v>
      </c>
      <c r="L19" s="5">
        <v>3.3550519300816402</v>
      </c>
      <c r="M19" s="5">
        <v>11.7357194423675</v>
      </c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25">
      <c r="B20" s="4">
        <v>3223.9336295605399</v>
      </c>
      <c r="C20" s="4">
        <v>103.784368659451</v>
      </c>
      <c r="D20" s="4">
        <v>11.4146075248718</v>
      </c>
      <c r="E20" s="5">
        <v>59.934697645427597</v>
      </c>
      <c r="F20" s="5">
        <v>2.85980873415342</v>
      </c>
      <c r="G20" s="5">
        <v>11.333469867706199</v>
      </c>
      <c r="H20" s="4">
        <v>96.3021034335286</v>
      </c>
      <c r="I20" s="4">
        <v>3.4612446777092001</v>
      </c>
      <c r="J20" s="4">
        <v>11.661410093307399</v>
      </c>
      <c r="K20" s="5">
        <v>97.9758719182107</v>
      </c>
      <c r="L20" s="5">
        <v>3.4788745442326801</v>
      </c>
      <c r="M20" s="5">
        <v>11.722119808197</v>
      </c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25">
      <c r="B21" s="4">
        <v>3176.5909950571599</v>
      </c>
      <c r="C21" s="4">
        <v>102.31930338011099</v>
      </c>
      <c r="D21" s="4">
        <v>11.3907375335693</v>
      </c>
      <c r="E21" s="5">
        <v>90.807082499348098</v>
      </c>
      <c r="F21" s="5">
        <v>3.33094641325548</v>
      </c>
      <c r="G21" s="5">
        <v>11.471031188964799</v>
      </c>
      <c r="H21" s="4">
        <v>91.015108259858593</v>
      </c>
      <c r="I21" s="4">
        <v>3.4548550407023599</v>
      </c>
      <c r="J21" s="4">
        <v>11.6886942386627</v>
      </c>
      <c r="K21" s="5">
        <v>93.182364217165599</v>
      </c>
      <c r="L21" s="5">
        <v>3.3661628055310602</v>
      </c>
      <c r="M21" s="5">
        <v>11.7503917217254</v>
      </c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25">
      <c r="B22" s="4">
        <v>3205.8088725635798</v>
      </c>
      <c r="C22" s="4">
        <v>103.23590755927199</v>
      </c>
      <c r="D22" s="4">
        <v>11.27503657341</v>
      </c>
      <c r="E22" s="5">
        <v>50.5762968786741</v>
      </c>
      <c r="F22" s="5">
        <v>2.2407280618843299</v>
      </c>
      <c r="G22" s="5">
        <v>11.491828918456999</v>
      </c>
      <c r="H22" s="4">
        <v>88.995976238619207</v>
      </c>
      <c r="I22" s="4">
        <v>3.3984125362167399</v>
      </c>
      <c r="J22" s="4">
        <v>11.668272495269701</v>
      </c>
      <c r="K22" s="5">
        <v>98.761617243212299</v>
      </c>
      <c r="L22" s="5">
        <v>3.5556758317575898</v>
      </c>
      <c r="M22" s="5">
        <v>11.8244853019714</v>
      </c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25">
      <c r="B23" s="4"/>
      <c r="C23" s="4"/>
      <c r="D23" s="4"/>
      <c r="E23" s="5"/>
      <c r="F23" s="5"/>
      <c r="G23" s="5"/>
      <c r="H23" s="4">
        <v>112.84872236471</v>
      </c>
      <c r="I23" s="4">
        <v>4.2898188841504901</v>
      </c>
      <c r="J23" s="4">
        <v>11.5611891746521</v>
      </c>
      <c r="K23" s="5">
        <v>78.319907660454604</v>
      </c>
      <c r="L23" s="5">
        <v>3.4998823088996298</v>
      </c>
      <c r="M23" s="5">
        <v>11.871711730956999</v>
      </c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25">
      <c r="B24" s="4"/>
      <c r="C24" s="4"/>
      <c r="D24" s="4"/>
      <c r="E24" s="5"/>
      <c r="F24" s="5"/>
      <c r="G24" s="5"/>
      <c r="H24" s="4"/>
      <c r="I24" s="4"/>
      <c r="J24" s="4"/>
      <c r="K24" s="5">
        <v>91.214004593635707</v>
      </c>
      <c r="L24" s="5">
        <v>3.7516547356340801</v>
      </c>
      <c r="M24" s="5">
        <v>11.7090663909912</v>
      </c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25">
      <c r="B25" s="4"/>
      <c r="C25" s="4"/>
      <c r="D25" s="4"/>
      <c r="E25" s="5"/>
      <c r="F25" s="5"/>
      <c r="G25" s="5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25">
      <c r="B26" s="4"/>
      <c r="C26" s="4"/>
      <c r="D26" s="4"/>
      <c r="E26" s="5"/>
      <c r="F26" s="5"/>
      <c r="G26" s="5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25">
      <c r="B27" s="4"/>
      <c r="C27" s="4"/>
      <c r="D27" s="4"/>
      <c r="E27" s="5"/>
      <c r="F27" s="5"/>
      <c r="G27" s="5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9" spans="2:22" x14ac:dyDescent="0.25">
      <c r="B29" s="32" t="s">
        <v>40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21"/>
    </row>
    <row r="30" spans="2:22" x14ac:dyDescent="0.25">
      <c r="B30" s="33" t="s">
        <v>19</v>
      </c>
      <c r="C30" s="34"/>
      <c r="D30" s="35"/>
      <c r="E30" s="33" t="s">
        <v>21</v>
      </c>
      <c r="F30" s="34"/>
      <c r="G30" s="35"/>
      <c r="H30" s="36" t="s">
        <v>22</v>
      </c>
      <c r="I30" s="37"/>
      <c r="J30" s="38"/>
      <c r="K30" s="39" t="s">
        <v>16</v>
      </c>
      <c r="L30" s="39"/>
      <c r="M30" s="39"/>
      <c r="N30" s="39" t="s">
        <v>37</v>
      </c>
      <c r="O30" s="39"/>
      <c r="P30" s="39"/>
      <c r="Q30" s="39" t="s">
        <v>38</v>
      </c>
      <c r="R30" s="39"/>
      <c r="S30" s="39"/>
      <c r="T30" s="39" t="s">
        <v>31</v>
      </c>
      <c r="U30" s="39"/>
      <c r="V30" s="39"/>
    </row>
    <row r="31" spans="2:22" ht="45" x14ac:dyDescent="0.25">
      <c r="B31" s="2" t="s">
        <v>20</v>
      </c>
      <c r="C31" s="2" t="s">
        <v>9</v>
      </c>
      <c r="D31" s="25" t="s">
        <v>30</v>
      </c>
      <c r="E31" s="2" t="s">
        <v>20</v>
      </c>
      <c r="F31" s="2" t="s">
        <v>9</v>
      </c>
      <c r="G31" s="25" t="s">
        <v>30</v>
      </c>
      <c r="H31" s="8" t="s">
        <v>20</v>
      </c>
      <c r="I31" s="8" t="s">
        <v>9</v>
      </c>
      <c r="J31" s="25" t="s">
        <v>30</v>
      </c>
      <c r="K31" s="8" t="s">
        <v>20</v>
      </c>
      <c r="L31" s="8" t="s">
        <v>9</v>
      </c>
      <c r="M31" s="25" t="s">
        <v>30</v>
      </c>
      <c r="N31" s="8" t="s">
        <v>20</v>
      </c>
      <c r="O31" s="8" t="s">
        <v>9</v>
      </c>
      <c r="P31" s="25" t="s">
        <v>30</v>
      </c>
      <c r="Q31" s="8" t="s">
        <v>20</v>
      </c>
      <c r="R31" s="8" t="s">
        <v>9</v>
      </c>
      <c r="S31" s="25" t="s">
        <v>30</v>
      </c>
      <c r="T31" s="8" t="s">
        <v>20</v>
      </c>
      <c r="U31" s="8" t="s">
        <v>9</v>
      </c>
      <c r="V31" s="25" t="s">
        <v>30</v>
      </c>
    </row>
    <row r="32" spans="2:22" x14ac:dyDescent="0.25">
      <c r="B32" s="4">
        <v>345.21337319137598</v>
      </c>
      <c r="C32" s="4">
        <v>11.1560754052009</v>
      </c>
      <c r="D32" s="4">
        <v>11.377435445785499</v>
      </c>
      <c r="E32" s="5">
        <v>38.513262923581003</v>
      </c>
      <c r="F32" s="5">
        <v>1.63046856597419</v>
      </c>
      <c r="G32" s="5">
        <v>11.498995065689</v>
      </c>
      <c r="H32" s="4">
        <v>38.875082820136598</v>
      </c>
      <c r="I32" s="4">
        <v>1.67226589223227</v>
      </c>
      <c r="J32" s="4">
        <v>11.604145526885899</v>
      </c>
      <c r="K32" s="5">
        <v>36.9453749198764</v>
      </c>
      <c r="L32" s="5">
        <v>1.5478539695145099</v>
      </c>
      <c r="M32" s="5">
        <v>11.7257986068725</v>
      </c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25">
      <c r="B33" s="4">
        <v>345.14754238117803</v>
      </c>
      <c r="C33" s="4">
        <v>11.256697300114</v>
      </c>
      <c r="D33" s="4">
        <v>11.487327337265</v>
      </c>
      <c r="E33" s="5">
        <v>39.154638611102001</v>
      </c>
      <c r="F33" s="5">
        <v>1.6396369165567799</v>
      </c>
      <c r="G33" s="5">
        <v>11.6167652606964</v>
      </c>
      <c r="H33" s="4">
        <v>36.967245682120897</v>
      </c>
      <c r="I33" s="4">
        <v>1.55166069803561</v>
      </c>
      <c r="J33" s="4">
        <v>11.7412493228912</v>
      </c>
      <c r="K33" s="5">
        <v>37.639439251880802</v>
      </c>
      <c r="L33" s="5">
        <v>1.5486966628866801</v>
      </c>
      <c r="M33" s="5">
        <v>11.6624176502227</v>
      </c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25">
      <c r="B34" s="4">
        <v>345.21337319137598</v>
      </c>
      <c r="C34" s="4">
        <v>11.1560754052009</v>
      </c>
      <c r="D34" s="4">
        <v>11.3636291027069</v>
      </c>
      <c r="E34" s="5">
        <v>38.934354523328601</v>
      </c>
      <c r="F34" s="5">
        <v>1.63853373966854</v>
      </c>
      <c r="G34" s="5">
        <v>11.6858246326446</v>
      </c>
      <c r="H34" s="4">
        <v>38.916233541762502</v>
      </c>
      <c r="I34" s="4">
        <v>1.66423116261605</v>
      </c>
      <c r="J34" s="4">
        <v>11.1895191669464</v>
      </c>
      <c r="K34" s="5">
        <v>36.841168542412099</v>
      </c>
      <c r="L34" s="5">
        <v>1.5521355529224199</v>
      </c>
      <c r="M34" s="5">
        <v>11.729650735855101</v>
      </c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25">
      <c r="B35" s="4">
        <v>345.21337319137598</v>
      </c>
      <c r="C35" s="4">
        <v>11.1560754052009</v>
      </c>
      <c r="D35" s="4">
        <v>11.343361377716001</v>
      </c>
      <c r="E35" s="5">
        <v>38.918840343166103</v>
      </c>
      <c r="F35" s="5">
        <v>1.6604856638437699</v>
      </c>
      <c r="G35" s="5">
        <v>11.5199015140533</v>
      </c>
      <c r="H35" s="4">
        <v>38.622678793867102</v>
      </c>
      <c r="I35" s="4">
        <v>1.5938949908242499</v>
      </c>
      <c r="J35" s="4">
        <v>11.554682016372601</v>
      </c>
      <c r="K35" s="5">
        <v>38.984238559721</v>
      </c>
      <c r="L35" s="5">
        <v>1.54911046425938</v>
      </c>
      <c r="M35" s="5">
        <v>11.653014421463</v>
      </c>
      <c r="N35" s="5"/>
      <c r="O35" s="5"/>
      <c r="P35" s="5"/>
      <c r="Q35" s="5"/>
      <c r="R35" s="5"/>
      <c r="S35" s="5"/>
      <c r="T35" s="5"/>
      <c r="U35" s="5"/>
      <c r="V35" s="5"/>
    </row>
    <row r="36" spans="2:22" x14ac:dyDescent="0.25">
      <c r="B36" s="4">
        <v>345.14754238117803</v>
      </c>
      <c r="C36" s="4">
        <v>11.256697300114</v>
      </c>
      <c r="D36" s="4">
        <v>11.3606398105621</v>
      </c>
      <c r="E36" s="5">
        <v>39.0871757822323</v>
      </c>
      <c r="F36" s="5">
        <v>1.55831707509211</v>
      </c>
      <c r="G36" s="5">
        <v>11.5858001708984</v>
      </c>
      <c r="H36" s="4">
        <v>39.015266694157901</v>
      </c>
      <c r="I36" s="4">
        <v>1.6742726763459299</v>
      </c>
      <c r="J36" s="4">
        <v>11.6733767986297</v>
      </c>
      <c r="K36" s="5">
        <v>38.893643657267297</v>
      </c>
      <c r="L36" s="5">
        <v>1.6642311586944201</v>
      </c>
      <c r="M36" s="5">
        <v>11.7134552001953</v>
      </c>
      <c r="N36" s="5"/>
      <c r="O36" s="5"/>
      <c r="P36" s="5"/>
      <c r="Q36" s="5"/>
      <c r="R36" s="5"/>
      <c r="S36" s="5"/>
      <c r="T36" s="5"/>
      <c r="U36" s="5"/>
      <c r="V36" s="5"/>
    </row>
    <row r="37" spans="2:22" x14ac:dyDescent="0.25">
      <c r="B37" s="4"/>
      <c r="C37" s="4"/>
      <c r="D37" s="4"/>
      <c r="E37" s="5"/>
      <c r="F37" s="5"/>
      <c r="G37" s="5"/>
      <c r="H37" s="4">
        <v>37.766138228678699</v>
      </c>
      <c r="I37" s="4">
        <v>1.55007540837292</v>
      </c>
      <c r="J37" s="4">
        <v>11.6366822719573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x14ac:dyDescent="0.25">
      <c r="B38" s="4"/>
      <c r="C38" s="4"/>
      <c r="D38" s="4"/>
      <c r="E38" s="5"/>
      <c r="F38" s="5"/>
      <c r="G38" s="5"/>
      <c r="H38" s="4">
        <v>38.916233541762502</v>
      </c>
      <c r="I38" s="4">
        <v>1.66423116261605</v>
      </c>
      <c r="J38" s="4">
        <v>11.735893249511699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x14ac:dyDescent="0.25">
      <c r="B39" s="4"/>
      <c r="C39" s="4"/>
      <c r="D39" s="4"/>
      <c r="E39" s="5"/>
      <c r="F39" s="5"/>
      <c r="G39" s="5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x14ac:dyDescent="0.25">
      <c r="B40" s="4"/>
      <c r="C40" s="4"/>
      <c r="D40" s="4"/>
      <c r="E40" s="5"/>
      <c r="F40" s="5"/>
      <c r="G40" s="5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x14ac:dyDescent="0.25">
      <c r="B41" s="4"/>
      <c r="C41" s="4"/>
      <c r="D41" s="4"/>
      <c r="E41" s="5"/>
      <c r="F41" s="5"/>
      <c r="G41" s="5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3" spans="2:22" x14ac:dyDescent="0.25">
      <c r="B43" s="32" t="s">
        <v>41</v>
      </c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21"/>
    </row>
    <row r="44" spans="2:22" x14ac:dyDescent="0.25">
      <c r="B44" s="33" t="s">
        <v>19</v>
      </c>
      <c r="C44" s="34"/>
      <c r="D44" s="35"/>
      <c r="E44" s="33" t="s">
        <v>21</v>
      </c>
      <c r="F44" s="34"/>
      <c r="G44" s="35"/>
      <c r="H44" s="36" t="s">
        <v>22</v>
      </c>
      <c r="I44" s="37"/>
      <c r="J44" s="38"/>
      <c r="K44" s="39" t="s">
        <v>16</v>
      </c>
      <c r="L44" s="39"/>
      <c r="M44" s="39"/>
      <c r="N44" s="39" t="s">
        <v>37</v>
      </c>
      <c r="O44" s="39"/>
      <c r="P44" s="39"/>
      <c r="Q44" s="39" t="s">
        <v>38</v>
      </c>
      <c r="R44" s="39"/>
      <c r="S44" s="39"/>
      <c r="T44" s="39" t="s">
        <v>31</v>
      </c>
      <c r="U44" s="39"/>
      <c r="V44" s="39"/>
    </row>
    <row r="45" spans="2:22" ht="45" x14ac:dyDescent="0.25">
      <c r="B45" s="2" t="s">
        <v>20</v>
      </c>
      <c r="C45" s="2" t="s">
        <v>9</v>
      </c>
      <c r="D45" s="25" t="s">
        <v>30</v>
      </c>
      <c r="E45" s="2" t="s">
        <v>20</v>
      </c>
      <c r="F45" s="2" t="s">
        <v>9</v>
      </c>
      <c r="G45" s="25" t="s">
        <v>30</v>
      </c>
      <c r="H45" s="8" t="s">
        <v>20</v>
      </c>
      <c r="I45" s="8" t="s">
        <v>9</v>
      </c>
      <c r="J45" s="25" t="s">
        <v>30</v>
      </c>
      <c r="K45" s="8" t="s">
        <v>20</v>
      </c>
      <c r="L45" s="8" t="s">
        <v>9</v>
      </c>
      <c r="M45" s="25" t="s">
        <v>30</v>
      </c>
      <c r="N45" s="8" t="s">
        <v>20</v>
      </c>
      <c r="O45" s="8" t="s">
        <v>9</v>
      </c>
      <c r="P45" s="25" t="s">
        <v>30</v>
      </c>
      <c r="Q45" s="8" t="s">
        <v>20</v>
      </c>
      <c r="R45" s="8" t="s">
        <v>9</v>
      </c>
      <c r="S45" s="25" t="s">
        <v>30</v>
      </c>
      <c r="T45" s="8" t="s">
        <v>20</v>
      </c>
      <c r="U45" s="8" t="s">
        <v>9</v>
      </c>
      <c r="V45" s="25" t="s">
        <v>30</v>
      </c>
    </row>
    <row r="46" spans="2:22" x14ac:dyDescent="0.25">
      <c r="B46" s="4">
        <v>1261.44296531498</v>
      </c>
      <c r="C46" s="4">
        <v>41.440515677445802</v>
      </c>
      <c r="D46" s="4">
        <v>11.526838302612299</v>
      </c>
      <c r="E46" s="5">
        <v>45.443276753298697</v>
      </c>
      <c r="F46" s="5">
        <v>2.8643923142918002</v>
      </c>
      <c r="G46" s="5">
        <v>11.5067465305328</v>
      </c>
      <c r="H46" s="4"/>
      <c r="I46" s="4"/>
      <c r="J46" s="4"/>
      <c r="K46" s="5">
        <v>93.0897561041469</v>
      </c>
      <c r="L46" s="5">
        <v>3.30219451723107</v>
      </c>
      <c r="M46" s="5">
        <v>11.680633068084701</v>
      </c>
      <c r="N46" s="5"/>
      <c r="O46" s="5"/>
      <c r="P46" s="5"/>
      <c r="Q46" s="5"/>
      <c r="R46" s="5"/>
      <c r="S46" s="5"/>
      <c r="T46" s="5"/>
      <c r="U46" s="5"/>
      <c r="V46" s="5"/>
    </row>
    <row r="47" spans="2:22" x14ac:dyDescent="0.25">
      <c r="B47" s="4">
        <v>1258.94720083937</v>
      </c>
      <c r="C47" s="4">
        <v>41.457191832359001</v>
      </c>
      <c r="D47" s="4">
        <v>11.3741781711578</v>
      </c>
      <c r="E47" s="5">
        <v>40.326313836370403</v>
      </c>
      <c r="F47" s="5">
        <v>2.8997169176335298</v>
      </c>
      <c r="G47" s="5">
        <v>11.515213727951</v>
      </c>
      <c r="H47" s="4"/>
      <c r="I47" s="4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2:22" x14ac:dyDescent="0.25">
      <c r="B48" s="4">
        <v>1272.84100087765</v>
      </c>
      <c r="C48" s="4">
        <v>41.667283778004297</v>
      </c>
      <c r="D48" s="4">
        <v>11.502956390380801</v>
      </c>
      <c r="E48" s="5">
        <v>36.314017141862998</v>
      </c>
      <c r="F48" s="5">
        <v>2.71538576301338</v>
      </c>
      <c r="G48" s="5">
        <v>11.661873579025199</v>
      </c>
      <c r="H48" s="4"/>
      <c r="I48" s="4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2:22" x14ac:dyDescent="0.25">
      <c r="B49" s="4">
        <v>1262.32532809241</v>
      </c>
      <c r="C49" s="4">
        <v>41.564492786032702</v>
      </c>
      <c r="D49" s="4">
        <v>11.48459815979</v>
      </c>
      <c r="E49" s="5">
        <v>45.442735532121198</v>
      </c>
      <c r="F49" s="5">
        <v>2.8642774224038798</v>
      </c>
      <c r="G49" s="5">
        <v>11.4730393886566</v>
      </c>
      <c r="H49" s="4"/>
      <c r="I49" s="4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2:22" x14ac:dyDescent="0.25">
      <c r="B50" s="4">
        <v>1257.69151891614</v>
      </c>
      <c r="C50" s="4">
        <v>41.435255079969203</v>
      </c>
      <c r="D50" s="4">
        <v>11.409185409545801</v>
      </c>
      <c r="E50" s="5">
        <v>40.324952635694501</v>
      </c>
      <c r="F50" s="5">
        <v>2.8998394693043799</v>
      </c>
      <c r="G50" s="5">
        <v>11.6635522842407</v>
      </c>
      <c r="H50" s="4"/>
      <c r="I50" s="4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2:22" x14ac:dyDescent="0.25">
      <c r="B51" s="4"/>
      <c r="C51" s="4"/>
      <c r="D51" s="4"/>
      <c r="E51" s="5"/>
      <c r="F51" s="5"/>
      <c r="G51" s="5"/>
      <c r="H51" s="4"/>
      <c r="I51" s="4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2:22" x14ac:dyDescent="0.25">
      <c r="B52" s="4"/>
      <c r="C52" s="4"/>
      <c r="D52" s="4"/>
      <c r="E52" s="5"/>
      <c r="F52" s="5"/>
      <c r="G52" s="5"/>
      <c r="H52" s="4"/>
      <c r="I52" s="4"/>
      <c r="J52" s="4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2:22" x14ac:dyDescent="0.25">
      <c r="B53" s="4"/>
      <c r="C53" s="4"/>
      <c r="D53" s="4"/>
      <c r="E53" s="5"/>
      <c r="F53" s="5"/>
      <c r="G53" s="5"/>
      <c r="H53" s="4"/>
      <c r="I53" s="4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2:22" x14ac:dyDescent="0.25">
      <c r="B54" s="4"/>
      <c r="C54" s="4"/>
      <c r="D54" s="4"/>
      <c r="E54" s="5"/>
      <c r="F54" s="5"/>
      <c r="G54" s="5"/>
      <c r="H54" s="4"/>
      <c r="I54" s="4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2:22" x14ac:dyDescent="0.25">
      <c r="B55" s="4"/>
      <c r="C55" s="4"/>
      <c r="D55" s="4"/>
      <c r="E55" s="5"/>
      <c r="F55" s="5"/>
      <c r="G55" s="5"/>
      <c r="H55" s="4"/>
      <c r="I55" s="4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</sheetData>
  <mergeCells count="32">
    <mergeCell ref="B1:L1"/>
    <mergeCell ref="B2:D2"/>
    <mergeCell ref="E2:G2"/>
    <mergeCell ref="H2:J2"/>
    <mergeCell ref="K2:M2"/>
    <mergeCell ref="N2:P2"/>
    <mergeCell ref="Q2:S2"/>
    <mergeCell ref="T2:V2"/>
    <mergeCell ref="B16:D16"/>
    <mergeCell ref="E16:G16"/>
    <mergeCell ref="H16:J16"/>
    <mergeCell ref="K16:M16"/>
    <mergeCell ref="B15:L15"/>
    <mergeCell ref="N16:P16"/>
    <mergeCell ref="Q16:S16"/>
    <mergeCell ref="T16:V16"/>
    <mergeCell ref="B29:L29"/>
    <mergeCell ref="Q30:S30"/>
    <mergeCell ref="T30:V30"/>
    <mergeCell ref="B43:L43"/>
    <mergeCell ref="B44:D44"/>
    <mergeCell ref="E44:G44"/>
    <mergeCell ref="H44:J44"/>
    <mergeCell ref="K44:M44"/>
    <mergeCell ref="N44:P44"/>
    <mergeCell ref="Q44:S44"/>
    <mergeCell ref="T44:V44"/>
    <mergeCell ref="B30:D30"/>
    <mergeCell ref="E30:G30"/>
    <mergeCell ref="H30:J30"/>
    <mergeCell ref="K30:M30"/>
    <mergeCell ref="N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opLeftCell="A3" zoomScale="117" workbookViewId="0">
      <selection activeCell="E32" sqref="E32"/>
    </sheetView>
  </sheetViews>
  <sheetFormatPr defaultColWidth="8.85546875" defaultRowHeight="15" x14ac:dyDescent="0.25"/>
  <cols>
    <col min="3" max="3" width="22.42578125" bestFit="1" customWidth="1"/>
    <col min="6" max="6" width="13" customWidth="1"/>
    <col min="11" max="11" width="10.42578125" bestFit="1" customWidth="1"/>
    <col min="13" max="13" width="9.42578125" bestFit="1" customWidth="1"/>
    <col min="14" max="14" width="8.28515625" bestFit="1" customWidth="1"/>
  </cols>
  <sheetData>
    <row r="1" spans="1:26" ht="75" customHeight="1" x14ac:dyDescent="0.25">
      <c r="A1" s="41" t="s">
        <v>34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26</v>
      </c>
    </row>
    <row r="4" spans="1:26" x14ac:dyDescent="0.25">
      <c r="A4" s="43" t="s">
        <v>12</v>
      </c>
      <c r="B4" s="11">
        <v>1</v>
      </c>
      <c r="C4" s="47" t="s">
        <v>35</v>
      </c>
      <c r="D4" s="47">
        <v>1005</v>
      </c>
      <c r="E4" s="47">
        <v>1005</v>
      </c>
      <c r="F4" s="48"/>
      <c r="G4" s="47">
        <v>8</v>
      </c>
      <c r="H4" s="47">
        <v>8</v>
      </c>
      <c r="I4" s="47">
        <v>128</v>
      </c>
      <c r="J4" s="47">
        <v>128</v>
      </c>
      <c r="K4" s="5">
        <f>AVERAGE(DataExp1.2!B4:B13)</f>
        <v>1318.3063529254857</v>
      </c>
      <c r="L4" s="5">
        <f>AVERAGE(DataExp1.2!C4:C13)</f>
        <v>42.578494804591585</v>
      </c>
      <c r="M4" s="5">
        <v>1031.6912470326899</v>
      </c>
      <c r="N4" s="17">
        <v>1.07046421020007E-2</v>
      </c>
      <c r="O4" s="14"/>
    </row>
    <row r="5" spans="1:26" x14ac:dyDescent="0.25">
      <c r="A5" s="44"/>
      <c r="B5" s="6">
        <v>3</v>
      </c>
      <c r="C5" s="45"/>
      <c r="D5" s="45"/>
      <c r="E5" s="45"/>
      <c r="F5" s="49"/>
      <c r="G5" s="45"/>
      <c r="H5" s="45"/>
      <c r="I5" s="45"/>
      <c r="J5" s="45"/>
      <c r="K5" s="5">
        <f>AVERAGE(DataExp1.2!E4:E13)</f>
        <v>553.53793602493806</v>
      </c>
      <c r="L5" s="5">
        <f>AVERAGE(DataExp1.2!F4:F13)</f>
        <v>23.646201326905199</v>
      </c>
      <c r="M5" s="5">
        <v>2037.9507810980799</v>
      </c>
      <c r="N5" s="17">
        <v>2.0295988771096798E-2</v>
      </c>
      <c r="O5" s="14"/>
    </row>
    <row r="6" spans="1:26" x14ac:dyDescent="0.25">
      <c r="A6" s="44"/>
      <c r="B6" s="6">
        <v>5</v>
      </c>
      <c r="C6" s="45"/>
      <c r="D6" s="45"/>
      <c r="E6" s="45"/>
      <c r="F6" s="49"/>
      <c r="G6" s="45"/>
      <c r="H6" s="45"/>
      <c r="I6" s="45"/>
      <c r="J6" s="45"/>
      <c r="K6" s="5">
        <f>AVERAGE(DataExp1.2!H4:H13)</f>
        <v>433.9549506572348</v>
      </c>
      <c r="L6" s="5">
        <f>AVERAGE(DataExp1.2!I4:I13)</f>
        <v>15.18584504945332</v>
      </c>
      <c r="M6" s="5">
        <v>2541.3986197788599</v>
      </c>
      <c r="N6" s="17">
        <v>2.4744345044931799E-2</v>
      </c>
      <c r="O6" s="14"/>
    </row>
    <row r="7" spans="1:26" x14ac:dyDescent="0.25">
      <c r="A7" s="44"/>
      <c r="B7" s="6">
        <v>10</v>
      </c>
      <c r="C7" s="45"/>
      <c r="D7" s="45"/>
      <c r="E7" s="45"/>
      <c r="F7" s="49"/>
      <c r="G7" s="45"/>
      <c r="H7" s="45"/>
      <c r="I7" s="45"/>
      <c r="J7" s="45"/>
      <c r="K7" s="5">
        <f>AVERAGE(DataExp1.2!K4:K13)</f>
        <v>10.838240342377034</v>
      </c>
      <c r="L7" s="5">
        <f>AVERAGE(DataExp1.2!L4:L13)</f>
        <v>2.1474627306391616</v>
      </c>
      <c r="M7" s="5">
        <v>2261.5467674711599</v>
      </c>
      <c r="N7" s="17">
        <v>2.1991732115827198E-2</v>
      </c>
      <c r="O7" s="14"/>
    </row>
    <row r="8" spans="1:26" x14ac:dyDescent="0.25">
      <c r="A8" s="44"/>
      <c r="B8" s="6">
        <v>20</v>
      </c>
      <c r="C8" s="45"/>
      <c r="D8" s="45"/>
      <c r="E8" s="45"/>
      <c r="F8" s="49"/>
      <c r="G8" s="45"/>
      <c r="H8" s="45"/>
      <c r="I8" s="45"/>
      <c r="J8" s="45"/>
      <c r="K8" s="5">
        <f>AVERAGE(DataExp1.2!N4:N13)</f>
        <v>7.8951699494837957</v>
      </c>
      <c r="L8" s="5">
        <f>AVERAGE(DataExp1.2!O4:O13)</f>
        <v>2.1955640750583441</v>
      </c>
      <c r="M8" s="5">
        <v>2901.56320216106</v>
      </c>
      <c r="N8" s="17">
        <v>2.7777792550588001E-2</v>
      </c>
      <c r="O8" s="14"/>
    </row>
    <row r="9" spans="1:26" x14ac:dyDescent="0.25">
      <c r="A9" s="44"/>
      <c r="B9" s="6">
        <v>50</v>
      </c>
      <c r="C9" s="45"/>
      <c r="D9" s="45"/>
      <c r="E9" s="45"/>
      <c r="F9" s="49"/>
      <c r="G9" s="45"/>
      <c r="H9" s="45"/>
      <c r="I9" s="45"/>
      <c r="J9" s="45"/>
      <c r="K9" s="5"/>
      <c r="L9" s="5"/>
      <c r="M9" s="5"/>
      <c r="N9" s="17"/>
      <c r="O9" s="14"/>
    </row>
    <row r="10" spans="1:26" x14ac:dyDescent="0.25">
      <c r="A10" s="44"/>
      <c r="B10" s="6">
        <v>100</v>
      </c>
      <c r="C10" s="45"/>
      <c r="D10" s="45"/>
      <c r="E10" s="45"/>
      <c r="F10" s="49"/>
      <c r="G10" s="45"/>
      <c r="H10" s="45"/>
      <c r="I10" s="45"/>
      <c r="J10" s="45"/>
      <c r="K10" s="5"/>
      <c r="L10" s="5"/>
      <c r="M10" s="5"/>
      <c r="N10" s="17"/>
      <c r="O10" s="14"/>
    </row>
    <row r="11" spans="1:26" x14ac:dyDescent="0.25">
      <c r="A11" s="45" t="s">
        <v>13</v>
      </c>
      <c r="B11" s="3">
        <v>1</v>
      </c>
      <c r="C11" s="45"/>
      <c r="D11" s="45"/>
      <c r="E11" s="45"/>
      <c r="F11" s="49"/>
      <c r="G11" s="45"/>
      <c r="H11" s="45"/>
      <c r="I11" s="45"/>
      <c r="J11" s="45"/>
      <c r="K11" s="4">
        <f>AVERAGE(DataExp1.2!B18:B27)</f>
        <v>3178.1943497230322</v>
      </c>
      <c r="L11" s="4">
        <f>AVERAGE(DataExp1.2!C18:C27)</f>
        <v>102.34469778372339</v>
      </c>
      <c r="M11" s="4">
        <v>142.35263472500199</v>
      </c>
      <c r="N11" s="18">
        <v>0.15901865598749301</v>
      </c>
      <c r="O11" s="4"/>
    </row>
    <row r="12" spans="1:26" x14ac:dyDescent="0.25">
      <c r="A12" s="45"/>
      <c r="B12" s="3">
        <v>3</v>
      </c>
      <c r="C12" s="45"/>
      <c r="D12" s="45"/>
      <c r="E12" s="45"/>
      <c r="F12" s="49"/>
      <c r="G12" s="45"/>
      <c r="H12" s="45"/>
      <c r="I12" s="45"/>
      <c r="J12" s="45"/>
      <c r="K12" s="4">
        <f>AVERAGE(DataExp1.2!E18:E27)</f>
        <v>75.685942333849169</v>
      </c>
      <c r="L12" s="4">
        <f>AVERAGE(DataExp1.2!F18:F27)</f>
        <v>3.1468565913049598</v>
      </c>
      <c r="M12" s="4">
        <v>469.98055340577702</v>
      </c>
      <c r="N12" s="18">
        <v>0.56156655781067499</v>
      </c>
      <c r="O12" s="4"/>
    </row>
    <row r="13" spans="1:26" x14ac:dyDescent="0.25">
      <c r="A13" s="45"/>
      <c r="B13" s="3">
        <v>5</v>
      </c>
      <c r="C13" s="45"/>
      <c r="D13" s="45"/>
      <c r="E13" s="45"/>
      <c r="F13" s="49"/>
      <c r="G13" s="45"/>
      <c r="H13" s="45"/>
      <c r="I13" s="45"/>
      <c r="J13" s="45"/>
      <c r="K13" s="4">
        <f>AVERAGE(DataExp1.2!H18:H27)</f>
        <v>75.545904528375146</v>
      </c>
      <c r="L13" s="4">
        <f>AVERAGE(DataExp1.2!I18:I27)</f>
        <v>3.1205866587468449</v>
      </c>
      <c r="M13" s="4">
        <v>477.62379095227902</v>
      </c>
      <c r="N13" s="18">
        <v>0.57532111708419298</v>
      </c>
      <c r="O13" s="4"/>
    </row>
    <row r="14" spans="1:26" x14ac:dyDescent="0.25">
      <c r="A14" s="45"/>
      <c r="B14" s="3">
        <v>10</v>
      </c>
      <c r="C14" s="45"/>
      <c r="D14" s="45"/>
      <c r="E14" s="45"/>
      <c r="F14" s="49"/>
      <c r="G14" s="45"/>
      <c r="H14" s="45"/>
      <c r="I14" s="45"/>
      <c r="J14" s="45"/>
      <c r="K14" s="4">
        <f>AVERAGE(DataExp1.2!K18:K27)</f>
        <v>95.698989447779951</v>
      </c>
      <c r="L14" s="4">
        <f>AVERAGE(DataExp1.2!L18:L27)</f>
        <v>3.57963620966285</v>
      </c>
      <c r="M14" s="4">
        <v>480.725983020287</v>
      </c>
      <c r="N14" s="18">
        <v>0.57873323315457403</v>
      </c>
      <c r="O14" s="4"/>
    </row>
    <row r="15" spans="1:26" x14ac:dyDescent="0.25">
      <c r="A15" s="45"/>
      <c r="B15" s="3">
        <v>20</v>
      </c>
      <c r="C15" s="45"/>
      <c r="D15" s="45"/>
      <c r="E15" s="45"/>
      <c r="F15" s="49"/>
      <c r="G15" s="45"/>
      <c r="H15" s="45"/>
      <c r="I15" s="45"/>
      <c r="J15" s="45"/>
      <c r="K15" s="4"/>
      <c r="L15" s="4"/>
      <c r="M15" s="4">
        <v>479.01929800970601</v>
      </c>
      <c r="N15" s="18">
        <v>0.57817838930787602</v>
      </c>
      <c r="O15" s="4"/>
    </row>
    <row r="16" spans="1:26" x14ac:dyDescent="0.25">
      <c r="A16" s="45"/>
      <c r="B16" s="3">
        <v>50</v>
      </c>
      <c r="C16" s="45"/>
      <c r="D16" s="45"/>
      <c r="E16" s="45"/>
      <c r="F16" s="49"/>
      <c r="G16" s="45"/>
      <c r="H16" s="45"/>
      <c r="I16" s="45"/>
      <c r="J16" s="45"/>
      <c r="K16" s="4"/>
      <c r="L16" s="4"/>
      <c r="M16" s="4"/>
      <c r="N16" s="18"/>
      <c r="O16" s="4"/>
    </row>
    <row r="17" spans="1:15" x14ac:dyDescent="0.25">
      <c r="A17" s="45"/>
      <c r="B17" s="3">
        <v>100</v>
      </c>
      <c r="C17" s="45"/>
      <c r="D17" s="45"/>
      <c r="E17" s="45"/>
      <c r="F17" s="49"/>
      <c r="G17" s="45"/>
      <c r="H17" s="45"/>
      <c r="I17" s="45"/>
      <c r="J17" s="45"/>
      <c r="K17" s="4"/>
      <c r="L17" s="4"/>
      <c r="M17" s="4"/>
      <c r="N17" s="18"/>
      <c r="O17" s="4"/>
    </row>
    <row r="18" spans="1:15" x14ac:dyDescent="0.25">
      <c r="A18" s="50" t="s">
        <v>14</v>
      </c>
      <c r="B18" s="9">
        <v>1</v>
      </c>
      <c r="C18" s="45"/>
      <c r="D18" s="45"/>
      <c r="E18" s="45"/>
      <c r="F18" s="49"/>
      <c r="G18" s="45"/>
      <c r="H18" s="45"/>
      <c r="I18" s="45"/>
      <c r="J18" s="45"/>
      <c r="K18" s="14">
        <f>AVERAGE(DataExp1.2!B32:B41)</f>
        <v>345.18704086729679</v>
      </c>
      <c r="L18" s="14">
        <f>AVERAGE(DataExp1.2!C32:C41)</f>
        <v>11.196324163166141</v>
      </c>
      <c r="M18" s="14">
        <v>45.632296109617997</v>
      </c>
      <c r="N18" s="19">
        <v>0.38384376025911399</v>
      </c>
      <c r="O18" s="14"/>
    </row>
    <row r="19" spans="1:15" x14ac:dyDescent="0.25">
      <c r="A19" s="50"/>
      <c r="B19" s="9">
        <v>3</v>
      </c>
      <c r="C19" s="45"/>
      <c r="D19" s="45"/>
      <c r="E19" s="45"/>
      <c r="F19" s="49"/>
      <c r="G19" s="45"/>
      <c r="H19" s="45"/>
      <c r="I19" s="45"/>
      <c r="J19" s="45"/>
      <c r="K19" s="14">
        <f>AVERAGE(DataExp1.2!E32:E41)</f>
        <v>38.921654436682005</v>
      </c>
      <c r="L19" s="14">
        <f>AVERAGE(DataExp1.2!F32:F41)</f>
        <v>1.6254883922270777</v>
      </c>
      <c r="M19" s="14">
        <v>54.454426636546202</v>
      </c>
      <c r="N19" s="19">
        <v>0.42563632754408898</v>
      </c>
      <c r="O19" s="14"/>
    </row>
    <row r="20" spans="1:15" x14ac:dyDescent="0.25">
      <c r="A20" s="50"/>
      <c r="B20" s="9">
        <v>5</v>
      </c>
      <c r="C20" s="45"/>
      <c r="D20" s="45"/>
      <c r="E20" s="45"/>
      <c r="F20" s="49"/>
      <c r="G20" s="45"/>
      <c r="H20" s="45"/>
      <c r="I20" s="45"/>
      <c r="J20" s="45"/>
      <c r="K20" s="14"/>
      <c r="L20" s="14"/>
      <c r="M20" s="14"/>
      <c r="N20" s="19"/>
      <c r="O20" s="14"/>
    </row>
    <row r="21" spans="1:15" x14ac:dyDescent="0.25">
      <c r="A21" s="50"/>
      <c r="B21" s="9">
        <v>10</v>
      </c>
      <c r="C21" s="45"/>
      <c r="D21" s="45"/>
      <c r="E21" s="45"/>
      <c r="F21" s="49"/>
      <c r="G21" s="45"/>
      <c r="H21" s="45"/>
      <c r="I21" s="45"/>
      <c r="J21" s="45"/>
      <c r="K21" s="14"/>
      <c r="L21" s="14"/>
      <c r="M21" s="14"/>
      <c r="N21" s="19"/>
      <c r="O21" s="14"/>
    </row>
    <row r="22" spans="1:15" x14ac:dyDescent="0.25">
      <c r="A22" s="50"/>
      <c r="B22" s="9">
        <v>20</v>
      </c>
      <c r="C22" s="45"/>
      <c r="D22" s="45"/>
      <c r="E22" s="45"/>
      <c r="F22" s="49"/>
      <c r="G22" s="45"/>
      <c r="H22" s="45"/>
      <c r="I22" s="45"/>
      <c r="J22" s="45"/>
      <c r="K22" s="14"/>
      <c r="L22" s="14"/>
      <c r="M22" s="14"/>
      <c r="N22" s="19"/>
      <c r="O22" s="14"/>
    </row>
    <row r="23" spans="1:15" x14ac:dyDescent="0.25">
      <c r="A23" s="50"/>
      <c r="B23" s="9">
        <v>50</v>
      </c>
      <c r="C23" s="45"/>
      <c r="D23" s="45"/>
      <c r="E23" s="45"/>
      <c r="F23" s="49"/>
      <c r="G23" s="45"/>
      <c r="H23" s="45"/>
      <c r="I23" s="45"/>
      <c r="J23" s="45"/>
      <c r="K23" s="14"/>
      <c r="L23" s="14"/>
      <c r="M23" s="14"/>
      <c r="N23" s="19"/>
      <c r="O23" s="14"/>
    </row>
    <row r="24" spans="1:15" x14ac:dyDescent="0.25">
      <c r="A24" s="50"/>
      <c r="B24" s="9">
        <v>100</v>
      </c>
      <c r="C24" s="45"/>
      <c r="D24" s="45"/>
      <c r="E24" s="45"/>
      <c r="F24" s="49"/>
      <c r="G24" s="45"/>
      <c r="H24" s="45"/>
      <c r="I24" s="45"/>
      <c r="J24" s="45"/>
      <c r="K24" s="14"/>
      <c r="L24" s="14"/>
      <c r="M24" s="14"/>
      <c r="N24" s="19"/>
      <c r="O24" s="14"/>
    </row>
    <row r="25" spans="1:15" x14ac:dyDescent="0.25">
      <c r="A25" s="45" t="s">
        <v>15</v>
      </c>
      <c r="B25" s="3">
        <v>1</v>
      </c>
      <c r="C25" s="45"/>
      <c r="D25" s="45"/>
      <c r="E25" s="45"/>
      <c r="F25" s="49"/>
      <c r="G25" s="45"/>
      <c r="H25" s="45"/>
      <c r="I25" s="45"/>
      <c r="J25" s="45"/>
      <c r="K25" s="4"/>
      <c r="L25" s="4"/>
      <c r="M25" s="4">
        <v>0.22804703269489901</v>
      </c>
      <c r="N25" s="18">
        <v>1.6157759423183701E-4</v>
      </c>
      <c r="O25" s="4"/>
    </row>
    <row r="26" spans="1:15" x14ac:dyDescent="0.25">
      <c r="A26" s="45"/>
      <c r="B26" s="3">
        <v>3</v>
      </c>
      <c r="C26" s="45"/>
      <c r="D26" s="45"/>
      <c r="E26" s="45"/>
      <c r="F26" s="49"/>
      <c r="G26" s="45"/>
      <c r="H26" s="45"/>
      <c r="I26" s="45"/>
      <c r="J26" s="45"/>
      <c r="K26" s="4"/>
      <c r="L26" s="4"/>
      <c r="M26" s="4">
        <v>0.41259237346931399</v>
      </c>
      <c r="N26" s="18">
        <v>2.92730512989791E-4</v>
      </c>
      <c r="O26" s="4"/>
    </row>
    <row r="27" spans="1:15" x14ac:dyDescent="0.25">
      <c r="A27" s="45"/>
      <c r="B27" s="3">
        <v>5</v>
      </c>
      <c r="C27" s="45"/>
      <c r="D27" s="45"/>
      <c r="E27" s="45"/>
      <c r="F27" s="49"/>
      <c r="G27" s="45"/>
      <c r="H27" s="45"/>
      <c r="I27" s="45"/>
      <c r="J27" s="45"/>
      <c r="K27" s="4"/>
      <c r="L27" s="4"/>
      <c r="M27" s="4"/>
      <c r="N27" s="18"/>
      <c r="O27" s="4"/>
    </row>
    <row r="28" spans="1:15" x14ac:dyDescent="0.25">
      <c r="A28" s="45"/>
      <c r="B28" s="3">
        <v>10</v>
      </c>
      <c r="C28" s="45"/>
      <c r="D28" s="45"/>
      <c r="E28" s="45"/>
      <c r="F28" s="49"/>
      <c r="G28" s="45"/>
      <c r="H28" s="45"/>
      <c r="I28" s="45"/>
      <c r="J28" s="45"/>
      <c r="K28" s="4"/>
      <c r="L28" s="4"/>
      <c r="M28" s="4"/>
      <c r="N28" s="18"/>
      <c r="O28" s="4"/>
    </row>
    <row r="29" spans="1:15" x14ac:dyDescent="0.25">
      <c r="A29" s="45"/>
      <c r="B29" s="3">
        <v>20</v>
      </c>
      <c r="C29" s="45"/>
      <c r="D29" s="45"/>
      <c r="E29" s="45"/>
      <c r="F29" s="49"/>
      <c r="G29" s="45"/>
      <c r="H29" s="45"/>
      <c r="I29" s="45"/>
      <c r="J29" s="45"/>
      <c r="K29" s="4"/>
      <c r="L29" s="4"/>
      <c r="M29" s="4"/>
      <c r="N29" s="18"/>
      <c r="O29" s="4"/>
    </row>
    <row r="30" spans="1:15" x14ac:dyDescent="0.25">
      <c r="A30" s="45"/>
      <c r="B30" s="3">
        <v>50</v>
      </c>
      <c r="C30" s="45"/>
      <c r="D30" s="45"/>
      <c r="E30" s="45"/>
      <c r="F30" s="49"/>
      <c r="G30" s="45"/>
      <c r="H30" s="45"/>
      <c r="I30" s="45"/>
      <c r="J30" s="45"/>
      <c r="K30" s="4"/>
      <c r="L30" s="4"/>
      <c r="M30" s="4"/>
      <c r="N30" s="18"/>
      <c r="O30" s="4"/>
    </row>
    <row r="31" spans="1:15" x14ac:dyDescent="0.25">
      <c r="A31" s="45"/>
      <c r="B31" s="3">
        <v>100</v>
      </c>
      <c r="C31" s="45"/>
      <c r="D31" s="45"/>
      <c r="E31" s="45"/>
      <c r="F31" s="47"/>
      <c r="G31" s="45"/>
      <c r="H31" s="45"/>
      <c r="I31" s="45"/>
      <c r="J31" s="45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32" t="s">
        <v>25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21"/>
      <c r="R1" s="40" t="s">
        <v>27</v>
      </c>
      <c r="S1" s="40"/>
      <c r="T1" s="40"/>
      <c r="U1" s="40"/>
      <c r="V1" s="40"/>
      <c r="W1" s="40"/>
      <c r="X1" s="40"/>
      <c r="Y1" s="40"/>
      <c r="Z1" s="40"/>
      <c r="AA1" s="40"/>
      <c r="AB1" s="40"/>
      <c r="AI1" s="40" t="s">
        <v>28</v>
      </c>
      <c r="AJ1" s="40"/>
      <c r="AK1" s="40"/>
      <c r="AL1" s="40"/>
      <c r="AM1" s="40"/>
      <c r="AN1" s="40"/>
      <c r="AO1" s="40"/>
      <c r="AP1" s="40"/>
      <c r="AQ1" s="40"/>
      <c r="AR1" s="32"/>
      <c r="AS1" s="32"/>
      <c r="AT1" s="21"/>
      <c r="AY1" s="40" t="s">
        <v>15</v>
      </c>
      <c r="AZ1" s="40"/>
      <c r="BA1" s="40"/>
      <c r="BB1" s="40"/>
      <c r="BC1" s="40"/>
      <c r="BD1" s="40"/>
      <c r="BE1" s="40"/>
      <c r="BF1" s="40"/>
      <c r="BG1" s="40"/>
      <c r="BH1" s="32"/>
      <c r="BI1" s="32"/>
    </row>
    <row r="2" spans="2:65" x14ac:dyDescent="0.25">
      <c r="B2" s="33" t="s">
        <v>19</v>
      </c>
      <c r="C2" s="34"/>
      <c r="D2" s="35"/>
      <c r="E2" s="33" t="s">
        <v>21</v>
      </c>
      <c r="F2" s="34"/>
      <c r="G2" s="35"/>
      <c r="H2" s="36" t="s">
        <v>22</v>
      </c>
      <c r="I2" s="37"/>
      <c r="J2" s="38"/>
      <c r="K2" s="39" t="s">
        <v>16</v>
      </c>
      <c r="L2" s="39"/>
      <c r="M2" s="39"/>
      <c r="N2" s="39" t="s">
        <v>33</v>
      </c>
      <c r="O2" s="39"/>
      <c r="P2" s="39"/>
      <c r="R2" s="33" t="s">
        <v>19</v>
      </c>
      <c r="S2" s="34"/>
      <c r="T2" s="35"/>
      <c r="U2" s="33" t="s">
        <v>21</v>
      </c>
      <c r="V2" s="34"/>
      <c r="W2" s="35"/>
      <c r="X2" s="36" t="s">
        <v>22</v>
      </c>
      <c r="Y2" s="37"/>
      <c r="Z2" s="38"/>
      <c r="AA2" s="39" t="s">
        <v>16</v>
      </c>
      <c r="AB2" s="39"/>
      <c r="AC2" s="39"/>
      <c r="AD2" s="39" t="s">
        <v>33</v>
      </c>
      <c r="AE2" s="39"/>
      <c r="AF2" s="39"/>
      <c r="AG2" s="21"/>
      <c r="AH2" s="21"/>
      <c r="AI2" s="33" t="s">
        <v>19</v>
      </c>
      <c r="AJ2" s="34"/>
      <c r="AK2" s="35"/>
      <c r="AL2" s="33" t="s">
        <v>21</v>
      </c>
      <c r="AM2" s="34"/>
      <c r="AN2" s="35"/>
      <c r="AO2" s="36" t="s">
        <v>22</v>
      </c>
      <c r="AP2" s="37"/>
      <c r="AQ2" s="38"/>
      <c r="AR2" s="39" t="s">
        <v>16</v>
      </c>
      <c r="AS2" s="39"/>
      <c r="AT2" s="39"/>
      <c r="AU2" s="39" t="s">
        <v>33</v>
      </c>
      <c r="AV2" s="39"/>
      <c r="AW2" s="39"/>
      <c r="AY2" s="33" t="s">
        <v>19</v>
      </c>
      <c r="AZ2" s="34"/>
      <c r="BA2" s="35"/>
      <c r="BB2" s="33" t="s">
        <v>21</v>
      </c>
      <c r="BC2" s="34"/>
      <c r="BD2" s="35"/>
      <c r="BE2" s="36" t="s">
        <v>22</v>
      </c>
      <c r="BF2" s="37"/>
      <c r="BG2" s="38"/>
      <c r="BH2" s="39" t="s">
        <v>16</v>
      </c>
      <c r="BI2" s="39"/>
      <c r="BJ2" s="39"/>
      <c r="BK2" s="39" t="s">
        <v>33</v>
      </c>
      <c r="BL2" s="39"/>
      <c r="BM2" s="39"/>
    </row>
    <row r="3" spans="2:65" ht="45" x14ac:dyDescent="0.25">
      <c r="B3" s="2" t="s">
        <v>20</v>
      </c>
      <c r="C3" s="2" t="s">
        <v>9</v>
      </c>
      <c r="D3" s="25" t="s">
        <v>30</v>
      </c>
      <c r="E3" s="2" t="s">
        <v>20</v>
      </c>
      <c r="F3" s="2" t="s">
        <v>9</v>
      </c>
      <c r="G3" s="25" t="s">
        <v>30</v>
      </c>
      <c r="H3" s="8" t="s">
        <v>20</v>
      </c>
      <c r="I3" s="8" t="s">
        <v>9</v>
      </c>
      <c r="J3" s="25" t="s">
        <v>30</v>
      </c>
      <c r="K3" s="8" t="s">
        <v>20</v>
      </c>
      <c r="L3" s="8" t="s">
        <v>9</v>
      </c>
      <c r="M3" s="25" t="s">
        <v>30</v>
      </c>
      <c r="N3" s="8" t="s">
        <v>20</v>
      </c>
      <c r="O3" s="8" t="s">
        <v>9</v>
      </c>
      <c r="P3" s="25" t="s">
        <v>30</v>
      </c>
      <c r="R3" s="2" t="s">
        <v>20</v>
      </c>
      <c r="S3" s="2" t="s">
        <v>9</v>
      </c>
      <c r="T3" s="25" t="s">
        <v>30</v>
      </c>
      <c r="U3" s="2" t="s">
        <v>20</v>
      </c>
      <c r="V3" s="2" t="s">
        <v>9</v>
      </c>
      <c r="W3" s="25" t="s">
        <v>30</v>
      </c>
      <c r="X3" s="8" t="s">
        <v>20</v>
      </c>
      <c r="Y3" s="8" t="s">
        <v>9</v>
      </c>
      <c r="Z3" s="25" t="s">
        <v>30</v>
      </c>
      <c r="AA3" s="8" t="s">
        <v>20</v>
      </c>
      <c r="AB3" s="8" t="s">
        <v>9</v>
      </c>
      <c r="AC3" s="25" t="s">
        <v>30</v>
      </c>
      <c r="AD3" s="8" t="s">
        <v>20</v>
      </c>
      <c r="AE3" s="8" t="s">
        <v>9</v>
      </c>
      <c r="AF3" s="25" t="s">
        <v>30</v>
      </c>
      <c r="AG3" s="26"/>
      <c r="AH3" s="26"/>
      <c r="AI3" s="25" t="s">
        <v>20</v>
      </c>
      <c r="AJ3" s="2" t="s">
        <v>9</v>
      </c>
      <c r="AK3" s="25" t="s">
        <v>30</v>
      </c>
      <c r="AL3" s="2" t="s">
        <v>20</v>
      </c>
      <c r="AM3" s="2" t="s">
        <v>9</v>
      </c>
      <c r="AN3" s="25" t="s">
        <v>30</v>
      </c>
      <c r="AO3" s="8" t="s">
        <v>20</v>
      </c>
      <c r="AP3" s="8" t="s">
        <v>9</v>
      </c>
      <c r="AQ3" s="25" t="s">
        <v>30</v>
      </c>
      <c r="AR3" s="8" t="s">
        <v>20</v>
      </c>
      <c r="AS3" s="8" t="s">
        <v>9</v>
      </c>
      <c r="AT3" s="25" t="s">
        <v>30</v>
      </c>
      <c r="AU3" s="8" t="s">
        <v>20</v>
      </c>
      <c r="AV3" s="8" t="s">
        <v>9</v>
      </c>
      <c r="AW3" s="25" t="s">
        <v>30</v>
      </c>
      <c r="AY3" s="25" t="s">
        <v>20</v>
      </c>
      <c r="AZ3" s="2" t="s">
        <v>9</v>
      </c>
      <c r="BA3" s="25" t="s">
        <v>30</v>
      </c>
      <c r="BB3" s="2" t="s">
        <v>20</v>
      </c>
      <c r="BC3" s="2" t="s">
        <v>9</v>
      </c>
      <c r="BD3" s="25" t="s">
        <v>30</v>
      </c>
      <c r="BE3" s="8" t="s">
        <v>20</v>
      </c>
      <c r="BF3" s="8" t="s">
        <v>9</v>
      </c>
      <c r="BG3" s="25" t="s">
        <v>30</v>
      </c>
      <c r="BH3" s="8" t="s">
        <v>20</v>
      </c>
      <c r="BI3" s="8" t="s">
        <v>9</v>
      </c>
      <c r="BJ3" s="25" t="s">
        <v>30</v>
      </c>
      <c r="BK3" s="8" t="s">
        <v>20</v>
      </c>
      <c r="BL3" s="8" t="s">
        <v>9</v>
      </c>
      <c r="BM3" s="25" t="s">
        <v>30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  <mergeCell ref="AI2:AK2"/>
    <mergeCell ref="AL2:AN2"/>
    <mergeCell ref="BK2:BM2"/>
    <mergeCell ref="AU2:AW2"/>
    <mergeCell ref="AY2:BA2"/>
    <mergeCell ref="BB2:BD2"/>
    <mergeCell ref="BE2:BG2"/>
    <mergeCell ref="BH2:B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41" t="s">
        <v>32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26</v>
      </c>
    </row>
    <row r="4" spans="1:27" x14ac:dyDescent="0.25">
      <c r="A4" s="44" t="s">
        <v>12</v>
      </c>
      <c r="B4" s="6">
        <v>1</v>
      </c>
      <c r="C4" s="45" t="s">
        <v>5</v>
      </c>
      <c r="D4" s="45">
        <v>66</v>
      </c>
      <c r="E4" s="45">
        <v>66</v>
      </c>
      <c r="F4" s="55"/>
      <c r="G4" s="45">
        <v>1</v>
      </c>
      <c r="H4" s="45">
        <v>1</v>
      </c>
      <c r="I4" s="45">
        <v>66</v>
      </c>
      <c r="J4" s="45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44"/>
      <c r="B5" s="6">
        <v>3</v>
      </c>
      <c r="C5" s="45"/>
      <c r="D5" s="45"/>
      <c r="E5" s="45"/>
      <c r="F5" s="56"/>
      <c r="G5" s="45"/>
      <c r="H5" s="45"/>
      <c r="I5" s="45"/>
      <c r="J5" s="45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44"/>
      <c r="B6" s="6">
        <v>5</v>
      </c>
      <c r="C6" s="45"/>
      <c r="D6" s="45"/>
      <c r="E6" s="45"/>
      <c r="F6" s="56"/>
      <c r="G6" s="45"/>
      <c r="H6" s="45"/>
      <c r="I6" s="45"/>
      <c r="J6" s="45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44"/>
      <c r="B7" s="6">
        <v>10</v>
      </c>
      <c r="C7" s="45"/>
      <c r="D7" s="45"/>
      <c r="E7" s="45"/>
      <c r="F7" s="56"/>
      <c r="G7" s="45"/>
      <c r="H7" s="45"/>
      <c r="I7" s="45"/>
      <c r="J7" s="45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44"/>
      <c r="B8" s="6">
        <v>1000</v>
      </c>
      <c r="C8" s="45"/>
      <c r="D8" s="45"/>
      <c r="E8" s="45"/>
      <c r="F8" s="56"/>
      <c r="G8" s="45"/>
      <c r="H8" s="45"/>
      <c r="I8" s="45"/>
      <c r="J8" s="45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45" t="s">
        <v>13</v>
      </c>
      <c r="B9" s="3">
        <v>1</v>
      </c>
      <c r="C9" s="45"/>
      <c r="D9" s="45"/>
      <c r="E9" s="45"/>
      <c r="F9" s="56"/>
      <c r="G9" s="45"/>
      <c r="H9" s="45"/>
      <c r="I9" s="45"/>
      <c r="J9" s="45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45"/>
      <c r="B10" s="3">
        <v>3</v>
      </c>
      <c r="C10" s="45"/>
      <c r="D10" s="45"/>
      <c r="E10" s="45"/>
      <c r="F10" s="56"/>
      <c r="G10" s="45"/>
      <c r="H10" s="45"/>
      <c r="I10" s="45"/>
      <c r="J10" s="45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45"/>
      <c r="B11" s="3">
        <v>5</v>
      </c>
      <c r="C11" s="45"/>
      <c r="D11" s="45"/>
      <c r="E11" s="45"/>
      <c r="F11" s="56"/>
      <c r="G11" s="45"/>
      <c r="H11" s="45"/>
      <c r="I11" s="45"/>
      <c r="J11" s="45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45"/>
      <c r="B12" s="3">
        <v>10</v>
      </c>
      <c r="C12" s="45"/>
      <c r="D12" s="45"/>
      <c r="E12" s="45"/>
      <c r="F12" s="56"/>
      <c r="G12" s="45"/>
      <c r="H12" s="45"/>
      <c r="I12" s="45"/>
      <c r="J12" s="45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45"/>
      <c r="B13" s="3">
        <v>1000</v>
      </c>
      <c r="C13" s="45"/>
      <c r="D13" s="45"/>
      <c r="E13" s="45"/>
      <c r="F13" s="56"/>
      <c r="G13" s="45"/>
      <c r="H13" s="45"/>
      <c r="I13" s="45"/>
      <c r="J13" s="45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44" t="s">
        <v>14</v>
      </c>
      <c r="B14" s="6">
        <v>1</v>
      </c>
      <c r="C14" s="45"/>
      <c r="D14" s="45"/>
      <c r="E14" s="45"/>
      <c r="F14" s="56"/>
      <c r="G14" s="45"/>
      <c r="H14" s="45"/>
      <c r="I14" s="45"/>
      <c r="J14" s="45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44"/>
      <c r="B15" s="6">
        <v>3</v>
      </c>
      <c r="C15" s="45"/>
      <c r="D15" s="45"/>
      <c r="E15" s="45"/>
      <c r="F15" s="56"/>
      <c r="G15" s="45"/>
      <c r="H15" s="45"/>
      <c r="I15" s="45"/>
      <c r="J15" s="45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44"/>
      <c r="B16" s="6">
        <v>5</v>
      </c>
      <c r="C16" s="45"/>
      <c r="D16" s="45"/>
      <c r="E16" s="45"/>
      <c r="F16" s="56"/>
      <c r="G16" s="45"/>
      <c r="H16" s="45"/>
      <c r="I16" s="45"/>
      <c r="J16" s="45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44"/>
      <c r="B17" s="6">
        <v>10</v>
      </c>
      <c r="C17" s="45"/>
      <c r="D17" s="45"/>
      <c r="E17" s="45"/>
      <c r="F17" s="56"/>
      <c r="G17" s="45"/>
      <c r="H17" s="45"/>
      <c r="I17" s="45"/>
      <c r="J17" s="45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44"/>
      <c r="B18" s="6">
        <v>1000</v>
      </c>
      <c r="C18" s="45"/>
      <c r="D18" s="45"/>
      <c r="E18" s="45"/>
      <c r="F18" s="56"/>
      <c r="G18" s="45"/>
      <c r="H18" s="45"/>
      <c r="I18" s="45"/>
      <c r="J18" s="45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45" t="s">
        <v>15</v>
      </c>
      <c r="B19" s="3">
        <v>1</v>
      </c>
      <c r="C19" s="45"/>
      <c r="D19" s="45"/>
      <c r="E19" s="45"/>
      <c r="F19" s="56"/>
      <c r="G19" s="45"/>
      <c r="H19" s="45"/>
      <c r="I19" s="45"/>
      <c r="J19" s="45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45"/>
      <c r="B20" s="3">
        <v>3</v>
      </c>
      <c r="C20" s="45"/>
      <c r="D20" s="45"/>
      <c r="E20" s="45"/>
      <c r="F20" s="56"/>
      <c r="G20" s="45"/>
      <c r="H20" s="45"/>
      <c r="I20" s="45"/>
      <c r="J20" s="45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45"/>
      <c r="B21" s="3">
        <v>5</v>
      </c>
      <c r="C21" s="45"/>
      <c r="D21" s="45"/>
      <c r="E21" s="45"/>
      <c r="F21" s="56"/>
      <c r="G21" s="45"/>
      <c r="H21" s="45"/>
      <c r="I21" s="45"/>
      <c r="J21" s="45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3"/>
      <c r="B22" s="10">
        <v>10</v>
      </c>
      <c r="C22" s="53"/>
      <c r="D22" s="53"/>
      <c r="E22" s="53"/>
      <c r="F22" s="56"/>
      <c r="G22" s="53"/>
      <c r="H22" s="53"/>
      <c r="I22" s="53"/>
      <c r="J22" s="53"/>
      <c r="K22" s="29">
        <f>AVERAGE(DataExp2!BH4:BH8)</f>
        <v>2.6552692879772497</v>
      </c>
      <c r="L22" s="29">
        <f>AVERAGE(DataExp2!BI4:BI8)</f>
        <v>0.61909807751542356</v>
      </c>
      <c r="M22" s="29">
        <f>AVERAGE(DataExp2!BJ4:BJ8)</f>
        <v>0.1542748928070064</v>
      </c>
    </row>
    <row r="23" spans="1:13" ht="15.75" thickBot="1" x14ac:dyDescent="0.3">
      <c r="A23" s="54"/>
      <c r="B23" s="28">
        <v>1000</v>
      </c>
      <c r="C23" s="54"/>
      <c r="D23" s="54"/>
      <c r="E23" s="54"/>
      <c r="F23" s="57"/>
      <c r="G23" s="54"/>
      <c r="H23" s="54"/>
      <c r="I23" s="54"/>
      <c r="J23" s="54"/>
      <c r="K23" s="27">
        <f>AVERAGE(DataExp2!BK4:BK8)</f>
        <v>2.6966735043782979</v>
      </c>
      <c r="L23" s="27">
        <f>AVERAGE(DataExp2!BL4:BL8)</f>
        <v>0.6191107155759128</v>
      </c>
      <c r="M23" s="27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ColWidth="8.85546875" defaultRowHeight="15" x14ac:dyDescent="0.25"/>
  <cols>
    <col min="6" max="6" width="12.42578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29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58" t="s">
        <v>12</v>
      </c>
      <c r="B3" s="6">
        <v>1</v>
      </c>
      <c r="C3" s="45" t="s">
        <v>5</v>
      </c>
      <c r="D3" s="45">
        <v>66</v>
      </c>
      <c r="E3" s="45">
        <v>66</v>
      </c>
      <c r="F3" s="39"/>
      <c r="G3" s="45">
        <v>1</v>
      </c>
      <c r="H3" s="45">
        <v>1</v>
      </c>
      <c r="I3" s="45">
        <v>66</v>
      </c>
      <c r="J3" s="45">
        <v>66</v>
      </c>
      <c r="K3" s="9">
        <v>24.272210690591301</v>
      </c>
      <c r="L3" s="14">
        <v>3.3054398403598002</v>
      </c>
    </row>
    <row r="4" spans="1:12" x14ac:dyDescent="0.25">
      <c r="A4" s="59"/>
      <c r="B4" s="6">
        <v>3</v>
      </c>
      <c r="C4" s="45"/>
      <c r="D4" s="45"/>
      <c r="E4" s="45"/>
      <c r="F4" s="39"/>
      <c r="G4" s="45"/>
      <c r="H4" s="45"/>
      <c r="I4" s="45"/>
      <c r="J4" s="45"/>
      <c r="K4" s="14">
        <v>10.596633070539401</v>
      </c>
      <c r="L4" s="14">
        <v>1.5955635877966901</v>
      </c>
    </row>
    <row r="5" spans="1:12" x14ac:dyDescent="0.25">
      <c r="A5" s="59"/>
      <c r="B5" s="6">
        <v>5</v>
      </c>
      <c r="C5" s="45"/>
      <c r="D5" s="45"/>
      <c r="E5" s="45"/>
      <c r="F5" s="39"/>
      <c r="G5" s="45"/>
      <c r="H5" s="45"/>
      <c r="I5" s="45"/>
      <c r="J5" s="45"/>
      <c r="K5" s="14">
        <v>4.5624707313509596</v>
      </c>
      <c r="L5" s="14">
        <v>0.80189414157007399</v>
      </c>
    </row>
    <row r="6" spans="1:12" x14ac:dyDescent="0.25">
      <c r="A6" s="59"/>
      <c r="B6" s="6">
        <v>10</v>
      </c>
      <c r="C6" s="45"/>
      <c r="D6" s="45"/>
      <c r="E6" s="45"/>
      <c r="F6" s="39"/>
      <c r="G6" s="45"/>
      <c r="H6" s="45"/>
      <c r="I6" s="45"/>
      <c r="J6" s="45"/>
      <c r="K6" s="14">
        <v>0.610171518579538</v>
      </c>
      <c r="L6" s="14">
        <v>0.18817509888984599</v>
      </c>
    </row>
    <row r="7" spans="1:12" x14ac:dyDescent="0.25">
      <c r="A7" s="43"/>
      <c r="B7" s="6">
        <v>100</v>
      </c>
      <c r="C7" s="45"/>
      <c r="D7" s="45"/>
      <c r="E7" s="45"/>
      <c r="F7" s="39"/>
      <c r="G7" s="45"/>
      <c r="H7" s="45"/>
      <c r="I7" s="45"/>
      <c r="J7" s="45"/>
      <c r="K7" s="9">
        <v>0.56361848551125004</v>
      </c>
      <c r="L7" s="9">
        <v>0.197282474192192</v>
      </c>
    </row>
    <row r="8" spans="1:12" x14ac:dyDescent="0.25">
      <c r="A8" s="53" t="s">
        <v>13</v>
      </c>
      <c r="B8" s="3">
        <v>1</v>
      </c>
      <c r="C8" s="45"/>
      <c r="D8" s="45"/>
      <c r="E8" s="45"/>
      <c r="F8" s="39"/>
      <c r="G8" s="45"/>
      <c r="H8" s="45"/>
      <c r="I8" s="45"/>
      <c r="J8" s="45"/>
      <c r="K8" s="4">
        <v>51.3708858392826</v>
      </c>
      <c r="L8" s="4">
        <v>6.6885950561924696</v>
      </c>
    </row>
    <row r="9" spans="1:12" x14ac:dyDescent="0.25">
      <c r="A9" s="49"/>
      <c r="B9" s="3">
        <v>3</v>
      </c>
      <c r="C9" s="45"/>
      <c r="D9" s="45"/>
      <c r="E9" s="45"/>
      <c r="F9" s="39"/>
      <c r="G9" s="45"/>
      <c r="H9" s="45"/>
      <c r="I9" s="45"/>
      <c r="J9" s="45"/>
      <c r="K9" s="4">
        <v>2.1067016984413098</v>
      </c>
      <c r="L9" s="4">
        <v>0.40789971668138397</v>
      </c>
    </row>
    <row r="10" spans="1:12" x14ac:dyDescent="0.25">
      <c r="A10" s="49"/>
      <c r="B10" s="3">
        <v>5</v>
      </c>
      <c r="C10" s="45"/>
      <c r="D10" s="45"/>
      <c r="E10" s="45"/>
      <c r="F10" s="39"/>
      <c r="G10" s="45"/>
      <c r="H10" s="45"/>
      <c r="I10" s="45"/>
      <c r="J10" s="45"/>
      <c r="K10" s="4">
        <v>2.8064566058312099</v>
      </c>
      <c r="L10" s="4">
        <v>0.67455402488281302</v>
      </c>
    </row>
    <row r="11" spans="1:12" x14ac:dyDescent="0.25">
      <c r="A11" s="49"/>
      <c r="B11" s="3">
        <v>10</v>
      </c>
      <c r="C11" s="45"/>
      <c r="D11" s="45"/>
      <c r="E11" s="45"/>
      <c r="F11" s="39"/>
      <c r="G11" s="45"/>
      <c r="H11" s="45"/>
      <c r="I11" s="45"/>
      <c r="J11" s="45"/>
      <c r="K11" s="4">
        <v>1.8870454425238199</v>
      </c>
      <c r="L11" s="4">
        <v>0.37616173059733798</v>
      </c>
    </row>
    <row r="12" spans="1:12" x14ac:dyDescent="0.25">
      <c r="A12" s="47"/>
      <c r="B12" s="3">
        <v>100</v>
      </c>
      <c r="C12" s="45"/>
      <c r="D12" s="45"/>
      <c r="E12" s="45"/>
      <c r="F12" s="39"/>
      <c r="G12" s="45"/>
      <c r="H12" s="45"/>
      <c r="I12" s="45"/>
      <c r="J12" s="45"/>
      <c r="K12" s="4">
        <v>1.6795645399372201</v>
      </c>
      <c r="L12" s="4">
        <v>0.41984578161339797</v>
      </c>
    </row>
    <row r="13" spans="1:12" x14ac:dyDescent="0.25">
      <c r="A13" s="58" t="s">
        <v>14</v>
      </c>
      <c r="B13" s="6">
        <v>1</v>
      </c>
      <c r="C13" s="45"/>
      <c r="D13" s="45"/>
      <c r="E13" s="45"/>
      <c r="F13" s="39"/>
      <c r="G13" s="45"/>
      <c r="H13" s="45"/>
      <c r="I13" s="45"/>
      <c r="J13" s="45"/>
      <c r="K13" s="14">
        <v>1.97796965575553</v>
      </c>
      <c r="L13" s="14">
        <v>0.37754673426285001</v>
      </c>
    </row>
    <row r="14" spans="1:12" x14ac:dyDescent="0.25">
      <c r="A14" s="59"/>
      <c r="B14" s="6">
        <v>3</v>
      </c>
      <c r="C14" s="45"/>
      <c r="D14" s="45"/>
      <c r="E14" s="45"/>
      <c r="F14" s="39"/>
      <c r="G14" s="45"/>
      <c r="H14" s="45"/>
      <c r="I14" s="45"/>
      <c r="J14" s="45"/>
      <c r="K14" s="14">
        <v>3.1862607049915099</v>
      </c>
      <c r="L14" s="14">
        <v>0.65565129784223597</v>
      </c>
    </row>
    <row r="15" spans="1:12" x14ac:dyDescent="0.25">
      <c r="A15" s="59"/>
      <c r="B15" s="6">
        <v>5</v>
      </c>
      <c r="C15" s="45"/>
      <c r="D15" s="45"/>
      <c r="E15" s="45"/>
      <c r="F15" s="39"/>
      <c r="G15" s="45"/>
      <c r="H15" s="45"/>
      <c r="I15" s="45"/>
      <c r="J15" s="45"/>
      <c r="K15" s="14">
        <v>3.1662124268938201</v>
      </c>
      <c r="L15" s="14">
        <v>0.65226013362701096</v>
      </c>
    </row>
    <row r="16" spans="1:12" x14ac:dyDescent="0.25">
      <c r="A16" s="59"/>
      <c r="B16" s="6">
        <v>10</v>
      </c>
      <c r="C16" s="45"/>
      <c r="D16" s="45"/>
      <c r="E16" s="45"/>
      <c r="F16" s="39"/>
      <c r="G16" s="45"/>
      <c r="H16" s="45"/>
      <c r="I16" s="45"/>
      <c r="J16" s="45"/>
      <c r="K16" s="14">
        <v>3.0769912027266599</v>
      </c>
      <c r="L16" s="14">
        <v>0.65226013362701096</v>
      </c>
    </row>
    <row r="17" spans="1:12" x14ac:dyDescent="0.25">
      <c r="A17" s="43"/>
      <c r="B17" s="6">
        <v>100</v>
      </c>
      <c r="C17" s="45"/>
      <c r="D17" s="45"/>
      <c r="E17" s="45"/>
      <c r="F17" s="39"/>
      <c r="G17" s="45"/>
      <c r="H17" s="45"/>
      <c r="I17" s="45"/>
      <c r="J17" s="45"/>
      <c r="K17" s="14">
        <v>3.1294599319079799</v>
      </c>
      <c r="L17" s="14">
        <v>0.65226013362701096</v>
      </c>
    </row>
    <row r="18" spans="1:12" x14ac:dyDescent="0.25">
      <c r="A18" s="45" t="s">
        <v>15</v>
      </c>
      <c r="B18" s="3">
        <v>1</v>
      </c>
      <c r="C18" s="45"/>
      <c r="D18" s="45"/>
      <c r="E18" s="45"/>
      <c r="F18" s="39"/>
      <c r="G18" s="45"/>
      <c r="H18" s="45"/>
      <c r="I18" s="45"/>
      <c r="J18" s="45"/>
      <c r="K18">
        <v>34.454845100484</v>
      </c>
      <c r="L18">
        <v>4.5813181927955497</v>
      </c>
    </row>
    <row r="19" spans="1:12" x14ac:dyDescent="0.25">
      <c r="A19" s="45"/>
      <c r="B19" s="3">
        <v>3</v>
      </c>
      <c r="C19" s="45"/>
      <c r="D19" s="45"/>
      <c r="E19" s="45"/>
      <c r="F19" s="39"/>
      <c r="G19" s="45"/>
      <c r="H19" s="45"/>
      <c r="I19" s="45"/>
      <c r="J19" s="45"/>
      <c r="K19" s="4">
        <v>1.9521931441214699</v>
      </c>
      <c r="L19" s="4">
        <v>0.33857361093395399</v>
      </c>
    </row>
    <row r="20" spans="1:12" x14ac:dyDescent="0.25">
      <c r="A20" s="45"/>
      <c r="B20" s="3">
        <v>5</v>
      </c>
      <c r="C20" s="45"/>
      <c r="D20" s="45"/>
      <c r="E20" s="45"/>
      <c r="F20" s="39"/>
      <c r="G20" s="45"/>
      <c r="H20" s="45"/>
      <c r="I20" s="45"/>
      <c r="J20" s="45"/>
      <c r="K20" s="3">
        <v>2.0043440401661101</v>
      </c>
      <c r="L20" s="3">
        <v>0.34338396096988</v>
      </c>
    </row>
    <row r="21" spans="1:12" x14ac:dyDescent="0.25">
      <c r="A21" s="53"/>
      <c r="B21" s="10">
        <v>10</v>
      </c>
      <c r="C21" s="45"/>
      <c r="D21" s="45"/>
      <c r="E21" s="45"/>
      <c r="F21" s="39"/>
      <c r="G21" s="45"/>
      <c r="H21" s="45"/>
      <c r="I21" s="45"/>
      <c r="J21" s="45"/>
      <c r="K21" s="3">
        <v>2.0041611367035599</v>
      </c>
      <c r="L21" s="3">
        <v>2.0041611367035599</v>
      </c>
    </row>
    <row r="22" spans="1:12" ht="15.75" thickBot="1" x14ac:dyDescent="0.3">
      <c r="A22" s="54"/>
      <c r="B22" s="28">
        <v>100</v>
      </c>
      <c r="C22" s="45"/>
      <c r="D22" s="45"/>
      <c r="E22" s="45"/>
      <c r="F22" s="39"/>
      <c r="G22" s="45"/>
      <c r="H22" s="45"/>
      <c r="I22" s="45"/>
      <c r="J22" s="45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32" t="s">
        <v>25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21"/>
      <c r="R1" s="40" t="s">
        <v>27</v>
      </c>
      <c r="S1" s="40"/>
      <c r="T1" s="40"/>
      <c r="U1" s="40"/>
      <c r="V1" s="40"/>
      <c r="W1" s="40"/>
      <c r="X1" s="40"/>
      <c r="Y1" s="40"/>
      <c r="Z1" s="40"/>
      <c r="AA1" s="40"/>
      <c r="AB1" s="40"/>
      <c r="AE1" s="40" t="s">
        <v>28</v>
      </c>
      <c r="AF1" s="40"/>
      <c r="AG1" s="40"/>
      <c r="AH1" s="40"/>
      <c r="AI1" s="40"/>
      <c r="AJ1" s="40"/>
      <c r="AK1" s="40"/>
      <c r="AL1" s="40"/>
      <c r="AM1" s="40"/>
      <c r="AN1" s="32"/>
      <c r="AO1" s="32"/>
      <c r="AP1" s="21"/>
      <c r="AR1" s="40" t="s">
        <v>15</v>
      </c>
      <c r="AS1" s="40"/>
      <c r="AT1" s="40"/>
      <c r="AU1" s="40"/>
      <c r="AV1" s="40"/>
      <c r="AW1" s="40"/>
      <c r="AX1" s="40"/>
      <c r="AY1" s="40"/>
      <c r="AZ1" s="40"/>
      <c r="BA1" s="32"/>
      <c r="BB1" s="32"/>
    </row>
    <row r="2" spans="2:55" x14ac:dyDescent="0.25">
      <c r="B2" s="33" t="s">
        <v>19</v>
      </c>
      <c r="C2" s="34"/>
      <c r="D2" s="35"/>
      <c r="E2" s="33" t="s">
        <v>21</v>
      </c>
      <c r="F2" s="34"/>
      <c r="G2" s="35"/>
      <c r="H2" s="36" t="s">
        <v>22</v>
      </c>
      <c r="I2" s="37"/>
      <c r="J2" s="38"/>
      <c r="K2" s="39" t="s">
        <v>16</v>
      </c>
      <c r="L2" s="39"/>
      <c r="M2" s="39"/>
      <c r="N2" s="39" t="s">
        <v>31</v>
      </c>
      <c r="O2" s="39"/>
      <c r="P2" s="39"/>
      <c r="R2" s="33" t="s">
        <v>19</v>
      </c>
      <c r="S2" s="34"/>
      <c r="T2" s="35"/>
      <c r="U2" s="33" t="s">
        <v>21</v>
      </c>
      <c r="V2" s="34"/>
      <c r="W2" s="35"/>
      <c r="X2" s="36" t="s">
        <v>22</v>
      </c>
      <c r="Y2" s="37"/>
      <c r="Z2" s="38"/>
      <c r="AA2" s="39" t="s">
        <v>16</v>
      </c>
      <c r="AB2" s="39"/>
      <c r="AC2" s="39"/>
      <c r="AD2" s="21"/>
      <c r="AE2" s="33" t="s">
        <v>19</v>
      </c>
      <c r="AF2" s="34"/>
      <c r="AG2" s="35"/>
      <c r="AH2" s="33" t="s">
        <v>21</v>
      </c>
      <c r="AI2" s="34"/>
      <c r="AJ2" s="35"/>
      <c r="AK2" s="36" t="s">
        <v>22</v>
      </c>
      <c r="AL2" s="37"/>
      <c r="AM2" s="38"/>
      <c r="AN2" s="39" t="s">
        <v>16</v>
      </c>
      <c r="AO2" s="39"/>
      <c r="AP2" s="39"/>
      <c r="AR2" s="33" t="s">
        <v>19</v>
      </c>
      <c r="AS2" s="34"/>
      <c r="AT2" s="35"/>
      <c r="AU2" s="33" t="s">
        <v>21</v>
      </c>
      <c r="AV2" s="34"/>
      <c r="AW2" s="35"/>
      <c r="AX2" s="36" t="s">
        <v>22</v>
      </c>
      <c r="AY2" s="37"/>
      <c r="AZ2" s="38"/>
      <c r="BA2" s="39" t="s">
        <v>16</v>
      </c>
      <c r="BB2" s="39"/>
      <c r="BC2" s="39"/>
    </row>
    <row r="3" spans="2:55" ht="45" x14ac:dyDescent="0.25">
      <c r="B3" s="2" t="s">
        <v>20</v>
      </c>
      <c r="C3" s="2" t="s">
        <v>9</v>
      </c>
      <c r="D3" s="25" t="s">
        <v>30</v>
      </c>
      <c r="E3" s="2" t="s">
        <v>20</v>
      </c>
      <c r="F3" s="2" t="s">
        <v>9</v>
      </c>
      <c r="G3" s="25" t="s">
        <v>30</v>
      </c>
      <c r="H3" s="8" t="s">
        <v>20</v>
      </c>
      <c r="I3" s="8" t="s">
        <v>9</v>
      </c>
      <c r="J3" s="25" t="s">
        <v>30</v>
      </c>
      <c r="K3" s="8" t="s">
        <v>20</v>
      </c>
      <c r="L3" s="8" t="s">
        <v>9</v>
      </c>
      <c r="M3" s="25" t="s">
        <v>30</v>
      </c>
      <c r="N3" s="8" t="s">
        <v>20</v>
      </c>
      <c r="O3" s="8" t="s">
        <v>9</v>
      </c>
      <c r="P3" s="25" t="s">
        <v>30</v>
      </c>
      <c r="R3" s="2" t="s">
        <v>20</v>
      </c>
      <c r="S3" s="2" t="s">
        <v>9</v>
      </c>
      <c r="T3" s="25" t="s">
        <v>30</v>
      </c>
      <c r="U3" s="2" t="s">
        <v>20</v>
      </c>
      <c r="V3" s="2" t="s">
        <v>9</v>
      </c>
      <c r="W3" s="25" t="s">
        <v>30</v>
      </c>
      <c r="X3" s="8" t="s">
        <v>20</v>
      </c>
      <c r="Y3" s="8" t="s">
        <v>9</v>
      </c>
      <c r="Z3" s="25" t="s">
        <v>30</v>
      </c>
      <c r="AA3" s="8" t="s">
        <v>20</v>
      </c>
      <c r="AB3" s="8" t="s">
        <v>9</v>
      </c>
      <c r="AC3" s="25" t="s">
        <v>30</v>
      </c>
      <c r="AD3" s="26"/>
      <c r="AE3" s="25" t="s">
        <v>20</v>
      </c>
      <c r="AF3" s="2" t="s">
        <v>9</v>
      </c>
      <c r="AG3" s="25" t="s">
        <v>30</v>
      </c>
      <c r="AH3" s="2" t="s">
        <v>20</v>
      </c>
      <c r="AI3" s="2" t="s">
        <v>9</v>
      </c>
      <c r="AJ3" s="25" t="s">
        <v>30</v>
      </c>
      <c r="AK3" s="8" t="s">
        <v>20</v>
      </c>
      <c r="AL3" s="8" t="s">
        <v>9</v>
      </c>
      <c r="AM3" s="25" t="s">
        <v>30</v>
      </c>
      <c r="AN3" s="8" t="s">
        <v>20</v>
      </c>
      <c r="AO3" s="8" t="s">
        <v>9</v>
      </c>
      <c r="AP3" s="25" t="s">
        <v>30</v>
      </c>
      <c r="AR3" s="25" t="s">
        <v>20</v>
      </c>
      <c r="AS3" s="2" t="s">
        <v>9</v>
      </c>
      <c r="AT3" s="25" t="s">
        <v>30</v>
      </c>
      <c r="AU3" s="2" t="s">
        <v>20</v>
      </c>
      <c r="AV3" s="2" t="s">
        <v>9</v>
      </c>
      <c r="AW3" s="25" t="s">
        <v>30</v>
      </c>
      <c r="AX3" s="8" t="s">
        <v>20</v>
      </c>
      <c r="AY3" s="8" t="s">
        <v>9</v>
      </c>
      <c r="AZ3" s="25" t="s">
        <v>30</v>
      </c>
      <c r="BA3" s="8" t="s">
        <v>20</v>
      </c>
      <c r="BB3" s="8" t="s">
        <v>9</v>
      </c>
      <c r="BC3" s="25" t="s">
        <v>30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  <mergeCell ref="AN2:AP2"/>
    <mergeCell ref="AR2:AT2"/>
    <mergeCell ref="AU2:AW2"/>
    <mergeCell ref="AX2:AZ2"/>
    <mergeCell ref="BA2:BC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DataExp1.1</vt:lpstr>
      <vt:lpstr>Experiment 1.1</vt:lpstr>
      <vt:lpstr>DataExp1.2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2024-10-01T02:35:30Z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