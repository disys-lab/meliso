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1b2bcfbbb34c0c/Documents/GitHub/"/>
    </mc:Choice>
  </mc:AlternateContent>
  <xr:revisionPtr revIDLastSave="3629" documentId="13_ncr:1_{4B21F078-1D86-7D42-975E-771B6217AA2A}" xr6:coauthVersionLast="47" xr6:coauthVersionMax="47" xr10:uidLastSave="{A02E0F7D-85C0-4C4A-AE39-07EC0C677E89}"/>
  <bookViews>
    <workbookView xWindow="-120" yWindow="-120" windowWidth="29040" windowHeight="15720" xr2:uid="{3D929851-844D-4663-98AC-E560A272E6E8}"/>
  </bookViews>
  <sheets>
    <sheet name="DataExp1.1" sheetId="2" r:id="rId1"/>
    <sheet name="Experiment 1.1" sheetId="1" r:id="rId2"/>
    <sheet name="DataExp1.2" sheetId="8" r:id="rId3"/>
    <sheet name="Experiment 1.2" sheetId="7" r:id="rId4"/>
    <sheet name="DataExp2" sheetId="4" r:id="rId5"/>
    <sheet name="Experiment 2" sheetId="3" r:id="rId6"/>
    <sheet name="Experiment 3" sheetId="5" r:id="rId7"/>
    <sheet name="DataExp4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1" l="1"/>
  <c r="N39" i="1"/>
  <c r="O39" i="1"/>
  <c r="P39" i="1"/>
  <c r="L39" i="1"/>
  <c r="M38" i="1"/>
  <c r="N38" i="1"/>
  <c r="O38" i="1"/>
  <c r="P38" i="1"/>
  <c r="L38" i="1"/>
  <c r="M37" i="1"/>
  <c r="N37" i="1"/>
  <c r="O37" i="1"/>
  <c r="P37" i="1"/>
  <c r="L37" i="1"/>
  <c r="L36" i="1"/>
  <c r="M36" i="1"/>
  <c r="N36" i="1"/>
  <c r="O36" i="1"/>
  <c r="P36" i="1"/>
  <c r="M35" i="1"/>
  <c r="N35" i="1"/>
  <c r="O35" i="1"/>
  <c r="P35" i="1"/>
  <c r="L35" i="1"/>
  <c r="P34" i="1"/>
  <c r="P33" i="1"/>
  <c r="M34" i="1"/>
  <c r="N34" i="1"/>
  <c r="O34" i="1"/>
  <c r="L34" i="1"/>
  <c r="M33" i="1"/>
  <c r="N33" i="1"/>
  <c r="O33" i="1"/>
  <c r="L33" i="1"/>
  <c r="M24" i="1"/>
  <c r="N24" i="1"/>
  <c r="O24" i="1"/>
  <c r="P24" i="1"/>
  <c r="L24" i="1"/>
  <c r="M23" i="1"/>
  <c r="N23" i="1"/>
  <c r="O23" i="1"/>
  <c r="P23" i="1"/>
  <c r="L23" i="1"/>
  <c r="M22" i="1"/>
  <c r="N22" i="1"/>
  <c r="O22" i="1"/>
  <c r="P22" i="1"/>
  <c r="L22" i="1"/>
  <c r="M21" i="1"/>
  <c r="N21" i="1"/>
  <c r="O21" i="1"/>
  <c r="P21" i="1"/>
  <c r="L21" i="1"/>
  <c r="M20" i="1"/>
  <c r="N20" i="1"/>
  <c r="O20" i="1"/>
  <c r="P20" i="1"/>
  <c r="L20" i="1"/>
  <c r="M19" i="1"/>
  <c r="N19" i="1"/>
  <c r="O19" i="1"/>
  <c r="P19" i="1"/>
  <c r="L19" i="1"/>
  <c r="M18" i="1"/>
  <c r="N18" i="1"/>
  <c r="O18" i="1"/>
  <c r="P18" i="1"/>
  <c r="L18" i="1"/>
  <c r="M31" i="1"/>
  <c r="N31" i="1"/>
  <c r="O31" i="1"/>
  <c r="P31" i="1"/>
  <c r="L31" i="1"/>
  <c r="M30" i="1"/>
  <c r="N30" i="1"/>
  <c r="O30" i="1"/>
  <c r="P30" i="1"/>
  <c r="L30" i="1"/>
  <c r="M29" i="1"/>
  <c r="N29" i="1"/>
  <c r="O29" i="1"/>
  <c r="P29" i="1"/>
  <c r="L29" i="1"/>
  <c r="M28" i="1"/>
  <c r="N28" i="1"/>
  <c r="O28" i="1"/>
  <c r="P28" i="1"/>
  <c r="L28" i="1"/>
  <c r="M27" i="1"/>
  <c r="N27" i="1"/>
  <c r="O27" i="1"/>
  <c r="P27" i="1"/>
  <c r="L27" i="1"/>
  <c r="M26" i="1"/>
  <c r="N26" i="1"/>
  <c r="O26" i="1"/>
  <c r="P26" i="1"/>
  <c r="L26" i="1"/>
  <c r="M25" i="1"/>
  <c r="N25" i="1"/>
  <c r="O25" i="1"/>
  <c r="P25" i="1"/>
  <c r="L25" i="1"/>
  <c r="M17" i="1"/>
  <c r="N17" i="1"/>
  <c r="O17" i="1"/>
  <c r="P17" i="1"/>
  <c r="L17" i="1"/>
  <c r="M16" i="1"/>
  <c r="N16" i="1"/>
  <c r="O16" i="1"/>
  <c r="P16" i="1"/>
  <c r="L16" i="1"/>
  <c r="M15" i="1"/>
  <c r="N15" i="1"/>
  <c r="O15" i="1"/>
  <c r="P15" i="1"/>
  <c r="L15" i="1"/>
  <c r="M14" i="1"/>
  <c r="N14" i="1"/>
  <c r="O14" i="1"/>
  <c r="P14" i="1"/>
  <c r="L14" i="1"/>
  <c r="M13" i="1"/>
  <c r="N13" i="1"/>
  <c r="O13" i="1"/>
  <c r="P13" i="1"/>
  <c r="L13" i="1"/>
  <c r="M12" i="1"/>
  <c r="N12" i="1"/>
  <c r="O12" i="1"/>
  <c r="P12" i="1"/>
  <c r="L12" i="1"/>
  <c r="M11" i="1"/>
  <c r="N11" i="1"/>
  <c r="O11" i="1"/>
  <c r="P11" i="1"/>
  <c r="L11" i="1"/>
  <c r="M10" i="1"/>
  <c r="N10" i="1"/>
  <c r="O10" i="1"/>
  <c r="P10" i="1"/>
  <c r="L10" i="1"/>
  <c r="M9" i="1"/>
  <c r="N9" i="1"/>
  <c r="O9" i="1"/>
  <c r="P9" i="1"/>
  <c r="L9" i="1"/>
  <c r="M8" i="1"/>
  <c r="N8" i="1"/>
  <c r="O8" i="1"/>
  <c r="P8" i="1"/>
  <c r="L8" i="1"/>
  <c r="M4" i="1"/>
  <c r="N4" i="1"/>
  <c r="O4" i="1"/>
  <c r="P4" i="1"/>
  <c r="M7" i="1"/>
  <c r="N7" i="1"/>
  <c r="O7" i="1"/>
  <c r="P7" i="1"/>
  <c r="M6" i="1"/>
  <c r="N6" i="1"/>
  <c r="O6" i="1"/>
  <c r="P6" i="1"/>
  <c r="M5" i="1"/>
  <c r="N5" i="1"/>
  <c r="O5" i="1"/>
  <c r="P5" i="1"/>
  <c r="L5" i="1"/>
  <c r="L19" i="7"/>
  <c r="K19" i="7"/>
  <c r="L18" i="7"/>
  <c r="K18" i="7"/>
  <c r="L14" i="7"/>
  <c r="K14" i="7"/>
  <c r="L13" i="7"/>
  <c r="K13" i="7"/>
  <c r="L12" i="7"/>
  <c r="L11" i="7"/>
  <c r="K12" i="7"/>
  <c r="K11" i="7"/>
  <c r="L8" i="7"/>
  <c r="K8" i="7"/>
  <c r="L7" i="7"/>
  <c r="K7" i="7"/>
  <c r="L6" i="7"/>
  <c r="K6" i="7"/>
  <c r="L5" i="7"/>
  <c r="K5" i="7"/>
  <c r="L4" i="7"/>
  <c r="K4" i="7"/>
  <c r="L7" i="1"/>
  <c r="L23" i="3"/>
  <c r="M23" i="3"/>
  <c r="K23" i="3"/>
  <c r="L22" i="3"/>
  <c r="M22" i="3"/>
  <c r="K22" i="3"/>
  <c r="L21" i="3"/>
  <c r="M21" i="3"/>
  <c r="K21" i="3"/>
  <c r="L20" i="3"/>
  <c r="M20" i="3"/>
  <c r="K20" i="3"/>
  <c r="L19" i="3"/>
  <c r="M19" i="3"/>
  <c r="K19" i="3"/>
  <c r="L17" i="3"/>
  <c r="M17" i="3"/>
  <c r="K17" i="3"/>
  <c r="L18" i="3"/>
  <c r="M18" i="3"/>
  <c r="K18" i="3"/>
  <c r="L16" i="3"/>
  <c r="M16" i="3"/>
  <c r="K16" i="3"/>
  <c r="L15" i="3"/>
  <c r="M15" i="3"/>
  <c r="K15" i="3"/>
  <c r="L14" i="3"/>
  <c r="M14" i="3"/>
  <c r="K14" i="3"/>
  <c r="L13" i="3"/>
  <c r="M13" i="3"/>
  <c r="K13" i="3"/>
  <c r="L12" i="3"/>
  <c r="M12" i="3"/>
  <c r="K12" i="3"/>
  <c r="L11" i="3"/>
  <c r="M11" i="3"/>
  <c r="K11" i="3"/>
  <c r="L10" i="3"/>
  <c r="M10" i="3"/>
  <c r="K10" i="3"/>
  <c r="L9" i="3"/>
  <c r="M9" i="3"/>
  <c r="K9" i="3"/>
  <c r="L8" i="3"/>
  <c r="M8" i="3"/>
  <c r="K8" i="3"/>
  <c r="L7" i="3"/>
  <c r="M7" i="3"/>
  <c r="K7" i="3"/>
  <c r="L6" i="3"/>
  <c r="M6" i="3"/>
  <c r="K6" i="3"/>
  <c r="M5" i="3"/>
  <c r="L5" i="3"/>
  <c r="K5" i="3"/>
  <c r="M4" i="3"/>
  <c r="L4" i="3"/>
  <c r="K4" i="3"/>
  <c r="L6" i="1"/>
  <c r="L4" i="1"/>
</calcChain>
</file>

<file path=xl/sharedStrings.xml><?xml version="1.0" encoding="utf-8"?>
<sst xmlns="http://schemas.openxmlformats.org/spreadsheetml/2006/main" count="699" uniqueCount="49">
  <si>
    <t>MCA Rows</t>
  </si>
  <si>
    <t>MCA Columns</t>
  </si>
  <si>
    <t>Matrix Row</t>
  </si>
  <si>
    <t>Matrix Column</t>
  </si>
  <si>
    <t>Matrix Name</t>
  </si>
  <si>
    <t>bcsstk02</t>
  </si>
  <si>
    <t>Material</t>
  </si>
  <si>
    <t>Cell Rows</t>
  </si>
  <si>
    <t>Cell Columns</t>
  </si>
  <si>
    <t>L-infty Norm Error</t>
  </si>
  <si>
    <t>Acc. Write Latency (Mean)</t>
  </si>
  <si>
    <t>No. iteration</t>
  </si>
  <si>
    <t>Ag-aSi</t>
  </si>
  <si>
    <t>AlOx-HfO2</t>
  </si>
  <si>
    <t>EpiRAM</t>
  </si>
  <si>
    <t>TaOx-HfOx</t>
  </si>
  <si>
    <t>N = 10</t>
  </si>
  <si>
    <t>L-2 Norm Error (Mean)</t>
  </si>
  <si>
    <t>L-infty Norm Error (Mean)</t>
  </si>
  <si>
    <t>N=1</t>
  </si>
  <si>
    <t>L-2 Norm Error</t>
  </si>
  <si>
    <t>N=3</t>
  </si>
  <si>
    <t>N = 5</t>
  </si>
  <si>
    <t>Acc. Write Energy (Mean)</t>
  </si>
  <si>
    <t>Ipertubed</t>
  </si>
  <si>
    <t>Ag-aSi (bcsstk02)</t>
  </si>
  <si>
    <t>Elapsed Time for VMM</t>
  </si>
  <si>
    <t>AlOx-HfO2 (bcsstk02)</t>
  </si>
  <si>
    <t>EpiRAM (bcsstk02)</t>
  </si>
  <si>
    <t>Conditioning Number</t>
  </si>
  <si>
    <t>Elapsed Time</t>
  </si>
  <si>
    <t>N = 100</t>
  </si>
  <si>
    <t>Centralized Computation; 
Fixed Number of Iterations for Error Correction; 
No Error Correction
Run 5 replications for each number of iterations</t>
  </si>
  <si>
    <t>N = 1000</t>
  </si>
  <si>
    <t>Decentralized Computation (Large-scale); 
Fixed Number of Iterations for Error Correction; 
Aplied Error Correction to all devices
Run 10 replications for each number of iterations</t>
  </si>
  <si>
    <t>email-Eu-core-temporal</t>
  </si>
  <si>
    <t>Ag-aSi (email-Eu-core-temporal)</t>
  </si>
  <si>
    <t>N = 20</t>
  </si>
  <si>
    <t>N = 50</t>
  </si>
  <si>
    <t>AlOx-HfO2 (email-Eu-core-temporal)</t>
  </si>
  <si>
    <t>EpiRAM (email-Eu-core-temporal)</t>
  </si>
  <si>
    <t>TaOx-HfOx (email-Eu-core-temporal)</t>
  </si>
  <si>
    <t>N=50</t>
  </si>
  <si>
    <t>Centralized Computation (Small-scale); 
Fixed Number of Iterations for Error Correction; 
Only applied Error Correction on Worst Device (a.k.a. excluding EpiRAM):
Run 5 replications for each number of iterations</t>
  </si>
  <si>
    <t>TaOx-HfOx (bcsstk02)</t>
  </si>
  <si>
    <t>Ag-aSi (Iperturb)</t>
  </si>
  <si>
    <t>AlOx-HfO2 (Iperturb)</t>
  </si>
  <si>
    <t>EpiRAM (Iperturb)</t>
  </si>
  <si>
    <t>TaOx-HfOx (Iperturb)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</si>
</sst>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2" borderId="1" xfId="0" applyFill="1" applyBorder="1"/>
    <xf numFmtId="164" fontId="0" fillId="0" borderId="0" xfId="0" applyNumberFormat="1"/>
    <xf numFmtId="0" fontId="1" fillId="0" borderId="3" xfId="0" applyFont="1" applyBorder="1" applyAlignment="1">
      <alignment horizontal="center" vertical="center" wrapText="1"/>
    </xf>
    <xf numFmtId="0" fontId="0" fillId="3" borderId="1" xfId="0" applyFill="1" applyBorder="1"/>
    <xf numFmtId="0" fontId="0" fillId="0" borderId="4" xfId="0" applyBorder="1"/>
    <xf numFmtId="0" fontId="0" fillId="2" borderId="3" xfId="0" applyFill="1" applyBorder="1"/>
    <xf numFmtId="164" fontId="0" fillId="0" borderId="0" xfId="0" applyNumberFormat="1" applyAlignment="1">
      <alignment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3" borderId="1" xfId="0" applyNumberFormat="1" applyFill="1" applyBorder="1"/>
    <xf numFmtId="11" fontId="0" fillId="0" borderId="0" xfId="0" applyNumberFormat="1" applyAlignment="1">
      <alignment wrapText="1"/>
    </xf>
    <xf numFmtId="11" fontId="1" fillId="0" borderId="1" xfId="0" applyNumberFormat="1" applyFont="1" applyBorder="1" applyAlignment="1">
      <alignment horizontal="center" vertical="center" wrapText="1"/>
    </xf>
    <xf numFmtId="11" fontId="0" fillId="2" borderId="1" xfId="0" applyNumberFormat="1" applyFill="1" applyBorder="1"/>
    <xf numFmtId="11" fontId="0" fillId="0" borderId="1" xfId="0" applyNumberFormat="1" applyBorder="1"/>
    <xf numFmtId="11" fontId="0" fillId="3" borderId="1" xfId="0" applyNumberFormat="1" applyFill="1" applyBorder="1"/>
    <xf numFmtId="1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9" xfId="0" applyNumberFormat="1" applyBorder="1"/>
    <xf numFmtId="0" fontId="0" fillId="0" borderId="9" xfId="0" applyBorder="1"/>
    <xf numFmtId="164" fontId="0" fillId="0" borderId="4" xfId="0" applyNumberFormat="1" applyBorder="1"/>
    <xf numFmtId="164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164" fontId="0" fillId="3" borderId="0" xfId="0" applyNumberFormat="1" applyFill="1"/>
    <xf numFmtId="164" fontId="0" fillId="0" borderId="1" xfId="0" quotePrefix="1" applyNumberFormat="1" applyBorder="1"/>
    <xf numFmtId="164" fontId="0" fillId="3" borderId="1" xfId="0" quotePrefix="1" applyNumberFormat="1" applyFill="1" applyBorder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79EC-3EC3-439D-9B94-319298E6C78E}">
  <dimension ref="B1:AN72"/>
  <sheetViews>
    <sheetView tabSelected="1" zoomScale="85" zoomScaleNormal="85" workbookViewId="0">
      <selection sqref="A1:XFD1048576"/>
    </sheetView>
  </sheetViews>
  <sheetFormatPr defaultColWidth="8.85546875" defaultRowHeight="15" x14ac:dyDescent="0.25"/>
  <cols>
    <col min="1" max="1" width="8.85546875" style="7"/>
    <col min="2" max="2" width="9.140625" style="7" bestFit="1" customWidth="1"/>
    <col min="3" max="3" width="10.85546875" style="7" bestFit="1" customWidth="1"/>
    <col min="4" max="4" width="11" style="7" bestFit="1" customWidth="1"/>
    <col min="5" max="5" width="12.42578125" style="7" bestFit="1" customWidth="1"/>
    <col min="6" max="7" width="12" style="7" bestFit="1" customWidth="1"/>
    <col min="8" max="8" width="12.42578125" style="7" bestFit="1" customWidth="1"/>
    <col min="9" max="9" width="10.42578125" style="7" bestFit="1" customWidth="1"/>
    <col min="10" max="10" width="12.42578125" style="7" bestFit="1" customWidth="1"/>
    <col min="11" max="11" width="8.140625" style="7" customWidth="1"/>
    <col min="12" max="12" width="10.28515625" style="7" bestFit="1" customWidth="1"/>
    <col min="13" max="14" width="8.85546875" style="7"/>
    <col min="15" max="15" width="12.42578125" style="7" bestFit="1" customWidth="1"/>
    <col min="16" max="18" width="8.85546875" style="7"/>
    <col min="19" max="19" width="10.42578125" style="7" bestFit="1" customWidth="1"/>
    <col min="20" max="20" width="12.42578125" style="7" bestFit="1" customWidth="1"/>
    <col min="21" max="21" width="8.140625" style="7" bestFit="1" customWidth="1"/>
    <col min="22" max="23" width="8.140625" style="7" customWidth="1"/>
    <col min="24" max="24" width="10.42578125" style="7" bestFit="1" customWidth="1"/>
    <col min="25" max="25" width="12.42578125" style="7" bestFit="1" customWidth="1"/>
    <col min="26" max="28" width="8.140625" style="7" customWidth="1"/>
    <col min="29" max="29" width="10.42578125" style="7" bestFit="1" customWidth="1"/>
    <col min="30" max="30" width="12.42578125" style="7" bestFit="1" customWidth="1"/>
    <col min="31" max="31" width="10.140625" style="7" customWidth="1"/>
    <col min="32" max="33" width="8.85546875" style="7" customWidth="1"/>
    <col min="34" max="34" width="9.42578125" style="7" bestFit="1" customWidth="1"/>
    <col min="35" max="35" width="12.42578125" style="7" bestFit="1" customWidth="1"/>
    <col min="36" max="39" width="8.85546875" style="7" customWidth="1"/>
    <col min="40" max="16384" width="8.85546875" style="7"/>
  </cols>
  <sheetData>
    <row r="1" spans="2:40" x14ac:dyDescent="0.25">
      <c r="B1" s="61" t="s">
        <v>25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</row>
    <row r="2" spans="2:40" x14ac:dyDescent="0.25">
      <c r="B2" s="62" t="s">
        <v>19</v>
      </c>
      <c r="C2" s="63"/>
      <c r="D2" s="63"/>
      <c r="E2" s="63"/>
      <c r="F2" s="64"/>
      <c r="G2" s="65" t="s">
        <v>21</v>
      </c>
      <c r="H2" s="66"/>
      <c r="I2" s="66"/>
      <c r="J2" s="66"/>
      <c r="K2" s="67"/>
      <c r="L2" s="68" t="s">
        <v>22</v>
      </c>
      <c r="M2" s="69"/>
      <c r="N2" s="69"/>
      <c r="O2" s="69"/>
      <c r="P2" s="70"/>
      <c r="Q2" s="71" t="s">
        <v>16</v>
      </c>
      <c r="R2" s="72"/>
      <c r="S2" s="72"/>
      <c r="T2" s="72"/>
      <c r="U2" s="73"/>
      <c r="V2" s="68" t="s">
        <v>37</v>
      </c>
      <c r="W2" s="69"/>
      <c r="X2" s="69"/>
      <c r="Y2" s="69"/>
      <c r="Z2" s="70"/>
      <c r="AA2" s="71" t="s">
        <v>42</v>
      </c>
      <c r="AB2" s="72"/>
      <c r="AC2" s="72"/>
      <c r="AD2" s="72"/>
      <c r="AE2" s="73"/>
      <c r="AF2" s="68" t="s">
        <v>31</v>
      </c>
      <c r="AG2" s="69"/>
      <c r="AH2" s="69"/>
      <c r="AI2" s="69"/>
      <c r="AJ2" s="70"/>
      <c r="AN2" s="74"/>
    </row>
    <row r="3" spans="2:40" ht="60" x14ac:dyDescent="0.25">
      <c r="B3" s="13" t="s">
        <v>20</v>
      </c>
      <c r="C3" s="13" t="s">
        <v>9</v>
      </c>
      <c r="D3" s="13" t="s">
        <v>10</v>
      </c>
      <c r="E3" s="13" t="s">
        <v>23</v>
      </c>
      <c r="F3" s="13" t="s">
        <v>26</v>
      </c>
      <c r="G3" s="28" t="s">
        <v>20</v>
      </c>
      <c r="H3" s="28" t="s">
        <v>9</v>
      </c>
      <c r="I3" s="28" t="s">
        <v>10</v>
      </c>
      <c r="J3" s="28" t="s">
        <v>23</v>
      </c>
      <c r="K3" s="28" t="s">
        <v>26</v>
      </c>
      <c r="L3" s="13" t="s">
        <v>20</v>
      </c>
      <c r="M3" s="13" t="s">
        <v>9</v>
      </c>
      <c r="N3" s="13" t="s">
        <v>10</v>
      </c>
      <c r="O3" s="13" t="s">
        <v>23</v>
      </c>
      <c r="P3" s="13" t="s">
        <v>26</v>
      </c>
      <c r="Q3" s="28" t="s">
        <v>20</v>
      </c>
      <c r="R3" s="28" t="s">
        <v>9</v>
      </c>
      <c r="S3" s="28" t="s">
        <v>10</v>
      </c>
      <c r="T3" s="28" t="s">
        <v>23</v>
      </c>
      <c r="U3" s="28" t="s">
        <v>26</v>
      </c>
      <c r="V3" s="13" t="s">
        <v>20</v>
      </c>
      <c r="W3" s="13" t="s">
        <v>9</v>
      </c>
      <c r="X3" s="13" t="s">
        <v>10</v>
      </c>
      <c r="Y3" s="13" t="s">
        <v>23</v>
      </c>
      <c r="Z3" s="13" t="s">
        <v>26</v>
      </c>
      <c r="AA3" s="28" t="s">
        <v>20</v>
      </c>
      <c r="AB3" s="28" t="s">
        <v>9</v>
      </c>
      <c r="AC3" s="28" t="s">
        <v>10</v>
      </c>
      <c r="AD3" s="28" t="s">
        <v>23</v>
      </c>
      <c r="AE3" s="28" t="s">
        <v>26</v>
      </c>
      <c r="AF3" s="13" t="s">
        <v>20</v>
      </c>
      <c r="AG3" s="13" t="s">
        <v>9</v>
      </c>
      <c r="AH3" s="13" t="s">
        <v>10</v>
      </c>
      <c r="AI3" s="13" t="s">
        <v>23</v>
      </c>
      <c r="AJ3" s="13" t="s">
        <v>26</v>
      </c>
      <c r="AN3" s="75"/>
    </row>
    <row r="4" spans="2:40" x14ac:dyDescent="0.25">
      <c r="B4" s="4">
        <v>48.405375675691097</v>
      </c>
      <c r="C4" s="4">
        <v>6.5012371172426899</v>
      </c>
      <c r="D4" s="4">
        <v>280.77705301382201</v>
      </c>
      <c r="E4" s="4">
        <v>1.2426647422269399E-3</v>
      </c>
      <c r="F4" s="4">
        <v>2.2200264930725</v>
      </c>
      <c r="G4" s="14">
        <v>21.845976498047101</v>
      </c>
      <c r="H4" s="14">
        <v>3.1394863269662001</v>
      </c>
      <c r="I4" s="14">
        <v>390.73335904146597</v>
      </c>
      <c r="J4" s="14">
        <v>1.832339402181E-3</v>
      </c>
      <c r="K4" s="14">
        <v>2.0940070152282702</v>
      </c>
      <c r="L4" s="4">
        <v>11.761521569533301</v>
      </c>
      <c r="M4" s="4">
        <v>1.9688228073263601</v>
      </c>
      <c r="N4" s="4">
        <v>429.57061506911401</v>
      </c>
      <c r="O4" s="4">
        <v>2.0074486690417098E-3</v>
      </c>
      <c r="P4" s="4">
        <v>2.2919952869415199</v>
      </c>
      <c r="Q4" s="14">
        <v>1.3352137478383499</v>
      </c>
      <c r="R4" s="14">
        <v>0.406855348292328</v>
      </c>
      <c r="S4" s="14">
        <v>445.815930138228</v>
      </c>
      <c r="T4" s="14">
        <v>2.0439141245455999E-3</v>
      </c>
      <c r="U4" s="14">
        <v>2.48293805122375</v>
      </c>
      <c r="V4" s="4">
        <v>1.1829448733229999</v>
      </c>
      <c r="W4" s="4">
        <v>0.399074998842888</v>
      </c>
      <c r="X4" s="4">
        <v>455.82186027645298</v>
      </c>
      <c r="Y4" s="4">
        <v>2.0637462472429401E-3</v>
      </c>
      <c r="Z4" s="4">
        <v>2.5318367481231601</v>
      </c>
      <c r="AA4" s="14">
        <v>1.2670240627015099</v>
      </c>
      <c r="AB4" s="14">
        <v>0.36013391316391002</v>
      </c>
      <c r="AC4" s="14">
        <v>460.27455069113802</v>
      </c>
      <c r="AD4" s="14">
        <v>2.0913029695989599E-3</v>
      </c>
      <c r="AE4" s="14">
        <v>3.1150028705596902</v>
      </c>
      <c r="AF4" s="4">
        <v>1.16738408109867</v>
      </c>
      <c r="AG4" s="4">
        <v>0.35890658938874798</v>
      </c>
      <c r="AH4" s="4">
        <v>458.095951382274</v>
      </c>
      <c r="AI4" s="4">
        <v>2.1146609841073698E-3</v>
      </c>
      <c r="AJ4" s="4">
        <v>4.3998079299926696</v>
      </c>
    </row>
    <row r="5" spans="2:40" x14ac:dyDescent="0.25">
      <c r="B5" s="4">
        <v>48.544182751545002</v>
      </c>
      <c r="C5" s="4">
        <v>6.61081915851421</v>
      </c>
      <c r="D5" s="4">
        <v>280.77705301382201</v>
      </c>
      <c r="E5" s="4">
        <v>1.2423680427653E-3</v>
      </c>
      <c r="F5" s="4">
        <v>2.3025550842285099</v>
      </c>
      <c r="G5" s="14">
        <v>22.1096661866987</v>
      </c>
      <c r="H5" s="14">
        <v>3.4227543764569699</v>
      </c>
      <c r="I5" s="14">
        <v>391.11195904146803</v>
      </c>
      <c r="J5" s="14">
        <v>1.8332875869532599E-3</v>
      </c>
      <c r="K5" s="14">
        <v>2.16101646423339</v>
      </c>
      <c r="L5" s="4">
        <v>11.8937322488196</v>
      </c>
      <c r="M5" s="4">
        <v>2.10011621560803</v>
      </c>
      <c r="N5" s="4">
        <v>429.74971506911402</v>
      </c>
      <c r="O5" s="4">
        <v>2.0082558212510199E-3</v>
      </c>
      <c r="P5" s="4">
        <v>1.99571061134338</v>
      </c>
      <c r="Q5" s="14">
        <v>2.2105761733349598</v>
      </c>
      <c r="R5" s="14">
        <v>0.578478000606228</v>
      </c>
      <c r="S5" s="14">
        <v>456.20403013822698</v>
      </c>
      <c r="T5" s="14">
        <v>2.0599180774274199E-3</v>
      </c>
      <c r="U5" s="14">
        <v>2.3609910011291499</v>
      </c>
      <c r="V5" s="4">
        <v>1.1341129117536199</v>
      </c>
      <c r="W5" s="4">
        <v>0.38645738940860103</v>
      </c>
      <c r="X5" s="4">
        <v>445.07466027645501</v>
      </c>
      <c r="Y5" s="4">
        <v>2.0497697482144599E-3</v>
      </c>
      <c r="Z5" s="4">
        <v>2.5911741256713801</v>
      </c>
      <c r="AA5" s="14">
        <v>1.9421080254182499</v>
      </c>
      <c r="AB5" s="14">
        <v>0.51635459157661501</v>
      </c>
      <c r="AC5" s="14">
        <v>449.302950691136</v>
      </c>
      <c r="AD5" s="14">
        <v>2.0859871857910901E-3</v>
      </c>
      <c r="AE5" s="14">
        <v>3.10551762580871</v>
      </c>
      <c r="AF5" s="4">
        <v>1.0903015325565799</v>
      </c>
      <c r="AG5" s="4">
        <v>0.373692923687102</v>
      </c>
      <c r="AH5" s="4">
        <v>453.036001382275</v>
      </c>
      <c r="AI5" s="4">
        <v>2.0849598628704499E-3</v>
      </c>
      <c r="AJ5" s="4">
        <v>4.2901444435119602</v>
      </c>
    </row>
    <row r="6" spans="2:40" x14ac:dyDescent="0.25">
      <c r="B6" s="4">
        <v>49.038547006529797</v>
      </c>
      <c r="C6" s="4">
        <v>6.75299143642901</v>
      </c>
      <c r="D6" s="4">
        <v>280.77705301382201</v>
      </c>
      <c r="E6" s="4">
        <v>1.2444118717866101E-3</v>
      </c>
      <c r="F6" s="4">
        <v>2.2122399806976301</v>
      </c>
      <c r="G6" s="14">
        <v>22.1539076692724</v>
      </c>
      <c r="H6" s="14">
        <v>3.3333766014529802</v>
      </c>
      <c r="I6" s="14">
        <v>393.00405904146697</v>
      </c>
      <c r="J6" s="14">
        <v>1.8425506799710999E-3</v>
      </c>
      <c r="K6" s="14">
        <v>1.97678470611572</v>
      </c>
      <c r="L6" s="4">
        <v>12.0286745421155</v>
      </c>
      <c r="M6" s="4">
        <v>1.9953560590221</v>
      </c>
      <c r="N6" s="4">
        <v>428.942865069113</v>
      </c>
      <c r="O6" s="4">
        <v>2.0055728581899399E-3</v>
      </c>
      <c r="P6" s="4">
        <v>2.4549810886382999</v>
      </c>
      <c r="Q6" s="14">
        <v>1.88592651043391</v>
      </c>
      <c r="R6" s="14">
        <v>0.574165526694566</v>
      </c>
      <c r="S6" s="14">
        <v>452.44893013822798</v>
      </c>
      <c r="T6" s="14">
        <v>2.0656273401431198E-3</v>
      </c>
      <c r="U6" s="14">
        <v>2.21172642707824</v>
      </c>
      <c r="V6" s="4">
        <v>1.17934098569572</v>
      </c>
      <c r="W6" s="4">
        <v>0.33143758702708198</v>
      </c>
      <c r="X6" s="4">
        <v>456.26781027645302</v>
      </c>
      <c r="Y6" s="4">
        <v>2.0669548454960102E-3</v>
      </c>
      <c r="Z6" s="4">
        <v>2.4619610309600799</v>
      </c>
      <c r="AA6" s="14">
        <v>2.2144552271154598</v>
      </c>
      <c r="AB6" s="14">
        <v>0.58196221449352203</v>
      </c>
      <c r="AC6" s="14">
        <v>459.053700691139</v>
      </c>
      <c r="AD6" s="14">
        <v>2.0826490536814202E-3</v>
      </c>
      <c r="AE6" s="14">
        <v>2.9935326576232901</v>
      </c>
      <c r="AF6" s="4">
        <v>1.18071296472814</v>
      </c>
      <c r="AG6" s="4">
        <v>0.36546240200688701</v>
      </c>
      <c r="AH6" s="4">
        <v>451.871851382275</v>
      </c>
      <c r="AI6" s="4">
        <v>2.0796577274464099E-3</v>
      </c>
      <c r="AJ6" s="4">
        <v>3.93764972686767</v>
      </c>
    </row>
    <row r="7" spans="2:40" x14ac:dyDescent="0.25">
      <c r="B7" s="4">
        <v>43.487215227182297</v>
      </c>
      <c r="C7" s="4">
        <v>6.2384246540691803</v>
      </c>
      <c r="D7" s="4">
        <v>280.77705301382201</v>
      </c>
      <c r="E7" s="4">
        <v>1.24177464384202E-3</v>
      </c>
      <c r="F7" s="4">
        <v>1.8635902404785101</v>
      </c>
      <c r="G7" s="14">
        <v>21.2619056021665</v>
      </c>
      <c r="H7" s="14">
        <v>3.0833855658172098</v>
      </c>
      <c r="I7" s="14">
        <v>390.03645904146703</v>
      </c>
      <c r="J7" s="14">
        <v>1.82915892433048E-3</v>
      </c>
      <c r="K7" s="14">
        <v>2.2423460483550999</v>
      </c>
      <c r="L7" s="4">
        <v>12.0525202116592</v>
      </c>
      <c r="M7" s="4">
        <v>1.98805702774946</v>
      </c>
      <c r="N7" s="4">
        <v>429.54931506911299</v>
      </c>
      <c r="O7" s="4">
        <v>2.0109965585241199E-3</v>
      </c>
      <c r="P7" s="4">
        <v>2.40798759460449</v>
      </c>
      <c r="Q7" s="14">
        <v>1.3848403355877701</v>
      </c>
      <c r="R7" s="14">
        <v>0.41059123494564498</v>
      </c>
      <c r="S7" s="14">
        <v>446.15463013822603</v>
      </c>
      <c r="T7" s="14">
        <v>2.0458236362095299E-3</v>
      </c>
      <c r="U7" s="14">
        <v>2.19571828842163</v>
      </c>
      <c r="V7" s="4">
        <v>1.1135811439341801</v>
      </c>
      <c r="W7" s="4">
        <v>0.33484981320993101</v>
      </c>
      <c r="X7" s="4">
        <v>463.96941027645499</v>
      </c>
      <c r="Y7" s="4">
        <v>2.06742927060437E-3</v>
      </c>
      <c r="Z7" s="4">
        <v>2.72619199752807</v>
      </c>
      <c r="AA7" s="14">
        <v>1.9260216662655201</v>
      </c>
      <c r="AB7" s="14">
        <v>0.52223125868570996</v>
      </c>
      <c r="AC7" s="14">
        <v>445.01160069113701</v>
      </c>
      <c r="AD7" s="14">
        <v>2.0738130715497699E-3</v>
      </c>
      <c r="AE7" s="14">
        <v>3.0592045783996502</v>
      </c>
      <c r="AF7" s="4">
        <v>1.1272064624118801</v>
      </c>
      <c r="AG7" s="4">
        <v>0.39454568341471902</v>
      </c>
      <c r="AH7" s="4">
        <v>452.23890138227802</v>
      </c>
      <c r="AI7" s="4">
        <v>2.08246416787376E-3</v>
      </c>
      <c r="AJ7" s="4">
        <v>3.89451599121093</v>
      </c>
    </row>
    <row r="8" spans="2:40" x14ac:dyDescent="0.25">
      <c r="B8" s="4">
        <v>48.887283245854697</v>
      </c>
      <c r="C8" s="4">
        <v>6.7488675397996802</v>
      </c>
      <c r="D8" s="4">
        <v>280.77705301382201</v>
      </c>
      <c r="E8" s="4">
        <v>1.24147794438038E-3</v>
      </c>
      <c r="F8" s="4">
        <v>2.1537320613861</v>
      </c>
      <c r="G8" s="14">
        <v>21.9113028000504</v>
      </c>
      <c r="H8" s="14">
        <v>3.1442255855738499</v>
      </c>
      <c r="I8" s="14">
        <v>390.73335904146597</v>
      </c>
      <c r="J8" s="14">
        <v>1.83232660308975E-3</v>
      </c>
      <c r="K8" s="14">
        <v>2.4188923835754301</v>
      </c>
      <c r="L8" s="4">
        <v>12.212791561953701</v>
      </c>
      <c r="M8" s="4">
        <v>2.02232117040485</v>
      </c>
      <c r="N8" s="4">
        <v>429.57061506911401</v>
      </c>
      <c r="O8" s="4">
        <v>2.0074786582290598E-3</v>
      </c>
      <c r="P8" s="4">
        <v>2.4520344734191801</v>
      </c>
      <c r="Q8" s="14">
        <v>1.1210564613304299</v>
      </c>
      <c r="R8" s="14">
        <v>0.38142930692102001</v>
      </c>
      <c r="S8" s="14">
        <v>441.88533013822598</v>
      </c>
      <c r="T8" s="14">
        <v>2.0443423165018202E-3</v>
      </c>
      <c r="U8" s="14">
        <v>2.12239217758178</v>
      </c>
      <c r="V8" s="4">
        <v>1.2980958898952599</v>
      </c>
      <c r="W8" s="4">
        <v>0.37077353542543101</v>
      </c>
      <c r="X8" s="4">
        <v>464.41806027645498</v>
      </c>
      <c r="Y8" s="4">
        <v>2.06916063412581E-3</v>
      </c>
      <c r="Z8" s="4">
        <v>2.48653817176818</v>
      </c>
      <c r="AA8" s="14">
        <v>1.11002893694585</v>
      </c>
      <c r="AB8" s="14">
        <v>0.372136820420848</v>
      </c>
      <c r="AC8" s="14">
        <v>451.057800691137</v>
      </c>
      <c r="AD8" s="14">
        <v>2.0726876850760399E-3</v>
      </c>
      <c r="AE8" s="14">
        <v>2.8059625625610298</v>
      </c>
      <c r="AF8" s="4">
        <v>1.2381096128108899</v>
      </c>
      <c r="AG8" s="4">
        <v>0.34792243681192703</v>
      </c>
      <c r="AH8" s="4">
        <v>464.89035138227399</v>
      </c>
      <c r="AI8" s="4">
        <v>2.1306026601287699E-3</v>
      </c>
      <c r="AJ8" s="4">
        <v>3.9945855140686</v>
      </c>
    </row>
    <row r="10" spans="2:40" x14ac:dyDescent="0.25">
      <c r="B10" s="61" t="s">
        <v>27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</row>
    <row r="11" spans="2:40" x14ac:dyDescent="0.25">
      <c r="B11" s="62" t="s">
        <v>19</v>
      </c>
      <c r="C11" s="63"/>
      <c r="D11" s="63"/>
      <c r="E11" s="63"/>
      <c r="F11" s="64"/>
      <c r="G11" s="65" t="s">
        <v>21</v>
      </c>
      <c r="H11" s="66"/>
      <c r="I11" s="66"/>
      <c r="J11" s="66"/>
      <c r="K11" s="67"/>
      <c r="L11" s="68" t="s">
        <v>22</v>
      </c>
      <c r="M11" s="69"/>
      <c r="N11" s="69"/>
      <c r="O11" s="69"/>
      <c r="P11" s="70"/>
      <c r="Q11" s="71" t="s">
        <v>16</v>
      </c>
      <c r="R11" s="72"/>
      <c r="S11" s="72"/>
      <c r="T11" s="72"/>
      <c r="U11" s="73"/>
      <c r="V11" s="68" t="s">
        <v>37</v>
      </c>
      <c r="W11" s="69"/>
      <c r="X11" s="69"/>
      <c r="Y11" s="69"/>
      <c r="Z11" s="70"/>
      <c r="AA11" s="71" t="s">
        <v>42</v>
      </c>
      <c r="AB11" s="72"/>
      <c r="AC11" s="72"/>
      <c r="AD11" s="72"/>
      <c r="AE11" s="73"/>
      <c r="AF11" s="68" t="s">
        <v>31</v>
      </c>
      <c r="AG11" s="69"/>
      <c r="AH11" s="69"/>
      <c r="AI11" s="69"/>
      <c r="AJ11" s="70"/>
    </row>
    <row r="12" spans="2:40" ht="60" x14ac:dyDescent="0.25">
      <c r="B12" s="13" t="s">
        <v>20</v>
      </c>
      <c r="C12" s="13" t="s">
        <v>9</v>
      </c>
      <c r="D12" s="13" t="s">
        <v>10</v>
      </c>
      <c r="E12" s="13" t="s">
        <v>23</v>
      </c>
      <c r="F12" s="13" t="s">
        <v>26</v>
      </c>
      <c r="G12" s="28" t="s">
        <v>20</v>
      </c>
      <c r="H12" s="28" t="s">
        <v>9</v>
      </c>
      <c r="I12" s="28" t="s">
        <v>10</v>
      </c>
      <c r="J12" s="28" t="s">
        <v>23</v>
      </c>
      <c r="K12" s="28" t="s">
        <v>26</v>
      </c>
      <c r="L12" s="13" t="s">
        <v>20</v>
      </c>
      <c r="M12" s="13" t="s">
        <v>9</v>
      </c>
      <c r="N12" s="13" t="s">
        <v>10</v>
      </c>
      <c r="O12" s="13" t="s">
        <v>23</v>
      </c>
      <c r="P12" s="13" t="s">
        <v>26</v>
      </c>
      <c r="Q12" s="28" t="s">
        <v>20</v>
      </c>
      <c r="R12" s="28" t="s">
        <v>9</v>
      </c>
      <c r="S12" s="28" t="s">
        <v>10</v>
      </c>
      <c r="T12" s="28" t="s">
        <v>23</v>
      </c>
      <c r="U12" s="28" t="s">
        <v>26</v>
      </c>
      <c r="V12" s="13" t="s">
        <v>20</v>
      </c>
      <c r="W12" s="13" t="s">
        <v>9</v>
      </c>
      <c r="X12" s="13" t="s">
        <v>10</v>
      </c>
      <c r="Y12" s="13" t="s">
        <v>23</v>
      </c>
      <c r="Z12" s="13" t="s">
        <v>26</v>
      </c>
      <c r="AA12" s="28" t="s">
        <v>20</v>
      </c>
      <c r="AB12" s="28" t="s">
        <v>9</v>
      </c>
      <c r="AC12" s="28" t="s">
        <v>10</v>
      </c>
      <c r="AD12" s="28" t="s">
        <v>23</v>
      </c>
      <c r="AE12" s="28" t="s">
        <v>26</v>
      </c>
      <c r="AF12" s="13" t="s">
        <v>20</v>
      </c>
      <c r="AG12" s="13" t="s">
        <v>9</v>
      </c>
      <c r="AH12" s="13" t="s">
        <v>10</v>
      </c>
      <c r="AI12" s="13" t="s">
        <v>23</v>
      </c>
      <c r="AJ12" s="13" t="s">
        <v>26</v>
      </c>
    </row>
    <row r="13" spans="2:40" x14ac:dyDescent="0.25">
      <c r="B13" s="4">
        <v>97.996820764793895</v>
      </c>
      <c r="C13" s="4">
        <v>12.857806855344</v>
      </c>
      <c r="D13" s="4">
        <v>38.8018530138228</v>
      </c>
      <c r="E13" s="4">
        <v>1.8313175473446699E-2</v>
      </c>
      <c r="F13" s="4">
        <v>2.08372926712036</v>
      </c>
      <c r="G13" s="14">
        <v>1.9896207511591399</v>
      </c>
      <c r="H13" s="14">
        <v>0.50061643236653097</v>
      </c>
      <c r="I13" s="14">
        <v>73.284409041468194</v>
      </c>
      <c r="J13" s="14">
        <v>3.8994966839365201E-2</v>
      </c>
      <c r="K13" s="14">
        <v>2.2478783130645699</v>
      </c>
      <c r="L13" s="4">
        <v>4.5773182646587696</v>
      </c>
      <c r="M13" s="4">
        <v>0.91697726695007997</v>
      </c>
      <c r="N13" s="4">
        <v>75.286565069113806</v>
      </c>
      <c r="O13" s="4">
        <v>4.0256479690962001E-2</v>
      </c>
      <c r="P13" s="4">
        <v>2.18189144134521</v>
      </c>
      <c r="Q13" s="14">
        <v>4.7144055713789399</v>
      </c>
      <c r="R13" s="14">
        <v>0.93996263667421298</v>
      </c>
      <c r="S13" s="14">
        <v>75.545080138227704</v>
      </c>
      <c r="T13" s="14">
        <v>4.0608116963391901E-2</v>
      </c>
      <c r="U13" s="14">
        <v>2.44974660873413</v>
      </c>
      <c r="V13" s="4">
        <v>4.8169352248984696</v>
      </c>
      <c r="W13" s="4">
        <v>1.03204958653325</v>
      </c>
      <c r="X13" s="4">
        <v>75.608660276455197</v>
      </c>
      <c r="Y13" s="4">
        <v>4.0527248269369903E-2</v>
      </c>
      <c r="Z13" s="4">
        <v>2.56579136848449</v>
      </c>
      <c r="AA13" s="14">
        <v>2.70787209595195</v>
      </c>
      <c r="AB13" s="14">
        <v>0.71523256624680398</v>
      </c>
      <c r="AC13" s="14">
        <v>75.365400691138404</v>
      </c>
      <c r="AD13" s="14">
        <v>4.0554784230403498E-2</v>
      </c>
      <c r="AE13" s="14">
        <v>3.10210061073303</v>
      </c>
      <c r="AF13" s="4">
        <v>6.6956419073976097</v>
      </c>
      <c r="AG13" s="4">
        <v>1.35440971359411</v>
      </c>
      <c r="AH13" s="4">
        <v>77.501151382277001</v>
      </c>
      <c r="AI13" s="4">
        <v>4.2091459109702398E-2</v>
      </c>
      <c r="AJ13" s="4">
        <v>4.2037107944488499</v>
      </c>
    </row>
    <row r="14" spans="2:40" x14ac:dyDescent="0.25">
      <c r="B14" s="4">
        <v>94.688350920336305</v>
      </c>
      <c r="C14" s="4">
        <v>12.770237642149199</v>
      </c>
      <c r="D14" s="4">
        <v>38.8018530138228</v>
      </c>
      <c r="E14" s="4">
        <v>1.8313175473446699E-2</v>
      </c>
      <c r="F14" s="4">
        <v>2.06532382965087</v>
      </c>
      <c r="G14" s="14">
        <v>5.6400916454171304</v>
      </c>
      <c r="H14" s="14">
        <v>0.96441459380983796</v>
      </c>
      <c r="I14" s="14">
        <v>71.477009041468307</v>
      </c>
      <c r="J14" s="14">
        <v>3.7265885633866097E-2</v>
      </c>
      <c r="K14" s="14">
        <v>2.2695355415344198</v>
      </c>
      <c r="L14" s="4">
        <v>5.2193259532484104</v>
      </c>
      <c r="M14" s="4">
        <v>1.0107984513628701</v>
      </c>
      <c r="N14" s="4">
        <v>75.602615069113796</v>
      </c>
      <c r="O14" s="4">
        <v>4.0260067261321697E-2</v>
      </c>
      <c r="P14" s="4">
        <v>2.0102851390838601</v>
      </c>
      <c r="Q14" s="14">
        <v>6.4349289148434003</v>
      </c>
      <c r="R14" s="14">
        <v>1.33474176237688</v>
      </c>
      <c r="S14" s="14">
        <v>77.550730138227493</v>
      </c>
      <c r="T14" s="14">
        <v>4.2152379579014798E-2</v>
      </c>
      <c r="U14" s="14">
        <v>2.4255056381225502</v>
      </c>
      <c r="V14" s="4">
        <v>4.6786404700233302</v>
      </c>
      <c r="W14" s="4">
        <v>0.94171616841057904</v>
      </c>
      <c r="X14" s="4">
        <v>75.518510276455203</v>
      </c>
      <c r="Y14" s="4">
        <v>4.0606052261504703E-2</v>
      </c>
      <c r="Z14" s="4">
        <v>2.6950168609619101</v>
      </c>
      <c r="AA14" s="14">
        <v>4.6470074685242597</v>
      </c>
      <c r="AB14" s="14">
        <v>0.94297207258322002</v>
      </c>
      <c r="AC14" s="14">
        <v>75.518600691138104</v>
      </c>
      <c r="AD14" s="14">
        <v>4.0606176453202102E-2</v>
      </c>
      <c r="AE14" s="14">
        <v>3.0403451919555602</v>
      </c>
      <c r="AF14" s="4">
        <v>2.8470669593498599</v>
      </c>
      <c r="AG14" s="4">
        <v>0.76356066113789101</v>
      </c>
      <c r="AH14" s="4">
        <v>75.219351382276898</v>
      </c>
      <c r="AI14" s="4">
        <v>4.0552802966253597E-2</v>
      </c>
      <c r="AJ14" s="4">
        <v>4.0056276321411097</v>
      </c>
    </row>
    <row r="15" spans="2:40" x14ac:dyDescent="0.25">
      <c r="B15" s="4">
        <v>100.739848146935</v>
      </c>
      <c r="C15" s="4">
        <v>13.6532986214249</v>
      </c>
      <c r="D15" s="4">
        <v>38.8018530138228</v>
      </c>
      <c r="E15" s="4">
        <v>1.8313175473446699E-2</v>
      </c>
      <c r="F15" s="4">
        <v>1.81722784042358</v>
      </c>
      <c r="G15" s="14">
        <v>4.37193179527066</v>
      </c>
      <c r="H15" s="14">
        <v>0.88990457847598803</v>
      </c>
      <c r="I15" s="14">
        <v>73.102359041468205</v>
      </c>
      <c r="J15" s="14">
        <v>3.8879755317166302E-2</v>
      </c>
      <c r="K15" s="14">
        <v>2.3029403686523402</v>
      </c>
      <c r="L15" s="4">
        <v>6.4286581119793302</v>
      </c>
      <c r="M15" s="4">
        <v>1.2576240221558499</v>
      </c>
      <c r="N15" s="4">
        <v>76.178365069113795</v>
      </c>
      <c r="O15" s="4">
        <v>4.1812025192735802E-2</v>
      </c>
      <c r="P15" s="4">
        <v>2.04269075393676</v>
      </c>
      <c r="Q15" s="14">
        <v>6.7298768091463996</v>
      </c>
      <c r="R15" s="14">
        <v>1.3547177717608301</v>
      </c>
      <c r="S15" s="14">
        <v>77.5008801382277</v>
      </c>
      <c r="T15" s="14">
        <v>4.2090951595853798E-2</v>
      </c>
      <c r="U15" s="14">
        <v>2.3199012279510498</v>
      </c>
      <c r="V15" s="4">
        <v>2.6889884781940498</v>
      </c>
      <c r="W15" s="4">
        <v>0.63557734866359805</v>
      </c>
      <c r="X15" s="4">
        <v>75.219110276455297</v>
      </c>
      <c r="Y15" s="4">
        <v>4.0551775193704502E-2</v>
      </c>
      <c r="Z15" s="4">
        <v>2.6627848148345898</v>
      </c>
      <c r="AA15" s="14">
        <v>2.41643675925723</v>
      </c>
      <c r="AB15" s="14">
        <v>0.66913714731828799</v>
      </c>
      <c r="AC15" s="14">
        <v>75.421250691138397</v>
      </c>
      <c r="AD15" s="14">
        <v>4.0647351826981801E-2</v>
      </c>
      <c r="AE15" s="14">
        <v>3.2617387771606401</v>
      </c>
      <c r="AF15" s="4">
        <v>2.3307098937042299</v>
      </c>
      <c r="AG15" s="4">
        <v>0.49352867320587601</v>
      </c>
      <c r="AH15" s="4">
        <v>75.588301382276796</v>
      </c>
      <c r="AI15" s="4">
        <v>4.0547277265625799E-2</v>
      </c>
      <c r="AJ15" s="4">
        <v>4.0872819423675502</v>
      </c>
    </row>
    <row r="16" spans="2:40" x14ac:dyDescent="0.25">
      <c r="B16" s="4">
        <v>100.378122212953</v>
      </c>
      <c r="C16" s="4">
        <v>13.654370533692401</v>
      </c>
      <c r="D16" s="4">
        <v>38.8018530138228</v>
      </c>
      <c r="E16" s="4">
        <v>1.8313175473446699E-2</v>
      </c>
      <c r="F16" s="4">
        <v>2.01064801216125</v>
      </c>
      <c r="G16" s="14">
        <v>1.9210445366706099</v>
      </c>
      <c r="H16" s="14">
        <v>0.47525591569499398</v>
      </c>
      <c r="I16" s="14">
        <v>73.280859041468304</v>
      </c>
      <c r="J16" s="14">
        <v>3.9008239383358602E-2</v>
      </c>
      <c r="K16" s="14">
        <v>2.3186950683593701</v>
      </c>
      <c r="L16" s="4">
        <v>4.8547848282650499</v>
      </c>
      <c r="M16" s="4">
        <v>0.90377898507002596</v>
      </c>
      <c r="N16" s="4">
        <v>75.110315069113597</v>
      </c>
      <c r="O16" s="4">
        <v>4.02723006679667E-2</v>
      </c>
      <c r="P16" s="4">
        <v>2.2661731243133501</v>
      </c>
      <c r="Q16" s="14">
        <v>2.7311093828477699</v>
      </c>
      <c r="R16" s="14">
        <v>0.71522454954681403</v>
      </c>
      <c r="S16" s="14">
        <v>75.365280138227803</v>
      </c>
      <c r="T16" s="14">
        <v>4.0554723193938401E-2</v>
      </c>
      <c r="U16" s="14">
        <v>2.0072596073150599</v>
      </c>
      <c r="V16" s="4">
        <v>6.79324640747922</v>
      </c>
      <c r="W16" s="4">
        <v>1.29311290195033</v>
      </c>
      <c r="X16" s="4">
        <v>76.692960276455196</v>
      </c>
      <c r="Y16" s="4">
        <v>4.2155793795345002E-2</v>
      </c>
      <c r="Z16" s="4">
        <v>2.5493519306182799</v>
      </c>
      <c r="AA16" s="14">
        <v>2.7785448053666899</v>
      </c>
      <c r="AB16" s="14">
        <v>0.76410567698303899</v>
      </c>
      <c r="AC16" s="14">
        <v>75.219200691138596</v>
      </c>
      <c r="AD16" s="14">
        <v>4.0552262788175801E-2</v>
      </c>
      <c r="AE16" s="14">
        <v>3.1742980480193999</v>
      </c>
      <c r="AF16" s="4">
        <v>3.3416006381902501</v>
      </c>
      <c r="AG16" s="4">
        <v>0.83163335252466497</v>
      </c>
      <c r="AH16" s="4">
        <v>75.272551382276802</v>
      </c>
      <c r="AI16" s="4">
        <v>4.0573162213819701E-2</v>
      </c>
      <c r="AJ16" s="4">
        <v>3.9984769821166899</v>
      </c>
    </row>
    <row r="17" spans="2:36" x14ac:dyDescent="0.25">
      <c r="B17" s="4">
        <v>98.816185006612301</v>
      </c>
      <c r="C17" s="4">
        <v>12.9042673605956</v>
      </c>
      <c r="D17" s="4">
        <v>38.8018530138228</v>
      </c>
      <c r="E17" s="4">
        <v>1.8313175473446699E-2</v>
      </c>
      <c r="F17" s="4">
        <v>2.16168212890625</v>
      </c>
      <c r="G17" s="14">
        <v>4.0246052762043298</v>
      </c>
      <c r="H17" s="14">
        <v>0.80545387812840696</v>
      </c>
      <c r="I17" s="14">
        <v>73.238509041468106</v>
      </c>
      <c r="J17" s="14">
        <v>3.8928413203425098E-2</v>
      </c>
      <c r="K17" s="14">
        <v>2.3394191265106201</v>
      </c>
      <c r="L17" s="4">
        <v>2.3629085828482599</v>
      </c>
      <c r="M17" s="4">
        <v>0.64810860194945896</v>
      </c>
      <c r="N17" s="4">
        <v>74.950415069113703</v>
      </c>
      <c r="O17" s="4">
        <v>4.0250393754105003E-2</v>
      </c>
      <c r="P17" s="4">
        <v>2.31302690505981</v>
      </c>
      <c r="Q17" s="14">
        <v>2.66113172046866</v>
      </c>
      <c r="R17" s="14">
        <v>0.63677796299613798</v>
      </c>
      <c r="S17" s="14">
        <v>75.219080138227596</v>
      </c>
      <c r="T17" s="14">
        <v>4.0551569502204801E-2</v>
      </c>
      <c r="U17" s="14">
        <v>2.3707435131072998</v>
      </c>
      <c r="V17" s="4">
        <v>4.71324269565946</v>
      </c>
      <c r="W17" s="4">
        <v>0.94392780050690905</v>
      </c>
      <c r="X17" s="4">
        <v>75.545110276455205</v>
      </c>
      <c r="Y17" s="4">
        <v>4.0608270349277102E-2</v>
      </c>
      <c r="Z17" s="4">
        <v>2.6408619880676198</v>
      </c>
      <c r="AA17" s="14">
        <v>4.9572737894054599</v>
      </c>
      <c r="AB17" s="14">
        <v>1.01828205629188</v>
      </c>
      <c r="AC17" s="14">
        <v>75.715150691138405</v>
      </c>
      <c r="AD17" s="14">
        <v>4.0532794778183598E-2</v>
      </c>
      <c r="AE17" s="14">
        <v>3.0870699882507302</v>
      </c>
      <c r="AF17" s="4">
        <v>5.0719053064671904</v>
      </c>
      <c r="AG17" s="4">
        <v>1.0501216484814899</v>
      </c>
      <c r="AH17" s="4">
        <v>76.011051382276705</v>
      </c>
      <c r="AI17" s="4">
        <v>4.0587721329767297E-2</v>
      </c>
      <c r="AJ17" s="4">
        <v>4.2727708816528303</v>
      </c>
    </row>
    <row r="19" spans="2:36" x14ac:dyDescent="0.25">
      <c r="B19" s="61" t="s">
        <v>28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</row>
    <row r="20" spans="2:36" x14ac:dyDescent="0.25">
      <c r="B20" s="62" t="s">
        <v>19</v>
      </c>
      <c r="C20" s="63"/>
      <c r="D20" s="63"/>
      <c r="E20" s="63"/>
      <c r="F20" s="64"/>
      <c r="G20" s="65" t="s">
        <v>21</v>
      </c>
      <c r="H20" s="66"/>
      <c r="I20" s="66"/>
      <c r="J20" s="66"/>
      <c r="K20" s="67"/>
      <c r="L20" s="68" t="s">
        <v>22</v>
      </c>
      <c r="M20" s="69"/>
      <c r="N20" s="69"/>
      <c r="O20" s="69"/>
      <c r="P20" s="70"/>
      <c r="Q20" s="71" t="s">
        <v>16</v>
      </c>
      <c r="R20" s="72"/>
      <c r="S20" s="72"/>
      <c r="T20" s="72"/>
      <c r="U20" s="73"/>
      <c r="V20" s="68" t="s">
        <v>37</v>
      </c>
      <c r="W20" s="69"/>
      <c r="X20" s="69"/>
      <c r="Y20" s="69"/>
      <c r="Z20" s="70"/>
      <c r="AA20" s="71" t="s">
        <v>42</v>
      </c>
      <c r="AB20" s="72"/>
      <c r="AC20" s="72"/>
      <c r="AD20" s="72"/>
      <c r="AE20" s="73"/>
      <c r="AF20" s="68" t="s">
        <v>31</v>
      </c>
      <c r="AG20" s="69"/>
      <c r="AH20" s="69"/>
      <c r="AI20" s="69"/>
      <c r="AJ20" s="70"/>
    </row>
    <row r="21" spans="2:36" ht="60" x14ac:dyDescent="0.25">
      <c r="B21" s="13" t="s">
        <v>20</v>
      </c>
      <c r="C21" s="13" t="s">
        <v>9</v>
      </c>
      <c r="D21" s="13" t="s">
        <v>10</v>
      </c>
      <c r="E21" s="13" t="s">
        <v>23</v>
      </c>
      <c r="F21" s="13" t="s">
        <v>26</v>
      </c>
      <c r="G21" s="28" t="s">
        <v>20</v>
      </c>
      <c r="H21" s="28" t="s">
        <v>9</v>
      </c>
      <c r="I21" s="28" t="s">
        <v>10</v>
      </c>
      <c r="J21" s="28" t="s">
        <v>23</v>
      </c>
      <c r="K21" s="28" t="s">
        <v>26</v>
      </c>
      <c r="L21" s="13" t="s">
        <v>20</v>
      </c>
      <c r="M21" s="13" t="s">
        <v>9</v>
      </c>
      <c r="N21" s="13" t="s">
        <v>10</v>
      </c>
      <c r="O21" s="13" t="s">
        <v>23</v>
      </c>
      <c r="P21" s="13" t="s">
        <v>26</v>
      </c>
      <c r="Q21" s="28" t="s">
        <v>20</v>
      </c>
      <c r="R21" s="28" t="s">
        <v>9</v>
      </c>
      <c r="S21" s="28" t="s">
        <v>10</v>
      </c>
      <c r="T21" s="28" t="s">
        <v>23</v>
      </c>
      <c r="U21" s="28" t="s">
        <v>26</v>
      </c>
      <c r="V21" s="13" t="s">
        <v>20</v>
      </c>
      <c r="W21" s="13" t="s">
        <v>9</v>
      </c>
      <c r="X21" s="13" t="s">
        <v>10</v>
      </c>
      <c r="Y21" s="13" t="s">
        <v>23</v>
      </c>
      <c r="Z21" s="13" t="s">
        <v>26</v>
      </c>
      <c r="AA21" s="28" t="s">
        <v>20</v>
      </c>
      <c r="AB21" s="28" t="s">
        <v>9</v>
      </c>
      <c r="AC21" s="28" t="s">
        <v>10</v>
      </c>
      <c r="AD21" s="28" t="s">
        <v>23</v>
      </c>
      <c r="AE21" s="28" t="s">
        <v>26</v>
      </c>
      <c r="AF21" s="13" t="s">
        <v>20</v>
      </c>
      <c r="AG21" s="13" t="s">
        <v>9</v>
      </c>
      <c r="AH21" s="13" t="s">
        <v>10</v>
      </c>
      <c r="AI21" s="13" t="s">
        <v>23</v>
      </c>
      <c r="AJ21" s="13" t="s">
        <v>26</v>
      </c>
    </row>
    <row r="22" spans="2:36" x14ac:dyDescent="0.25">
      <c r="B22" s="4">
        <v>4.5673914929329396</v>
      </c>
      <c r="C22" s="4">
        <v>0.75511641042661903</v>
      </c>
      <c r="D22" s="4">
        <v>4.4845012962678503E-2</v>
      </c>
      <c r="E22" s="4">
        <v>1.3224448728735801E-4</v>
      </c>
      <c r="F22" s="4">
        <v>0.21188092231750399</v>
      </c>
      <c r="G22" s="14">
        <v>5.2461342255167303</v>
      </c>
      <c r="H22" s="14">
        <v>0.87969942139475399</v>
      </c>
      <c r="I22" s="14">
        <v>4.7820025925357099E-2</v>
      </c>
      <c r="J22" s="14">
        <v>1.33908772236417E-4</v>
      </c>
      <c r="K22" s="14">
        <v>0.242220878601074</v>
      </c>
      <c r="L22" s="4">
        <v>5.0655324504313803</v>
      </c>
      <c r="M22" s="4">
        <v>0.855346508320174</v>
      </c>
      <c r="N22" s="4">
        <v>4.78425388880356E-2</v>
      </c>
      <c r="O22" s="4">
        <v>1.33915733272207E-4</v>
      </c>
      <c r="P22" s="4">
        <v>0.24848961830139099</v>
      </c>
      <c r="Q22" s="14">
        <v>4.8376725282056796</v>
      </c>
      <c r="R22" s="14">
        <v>0.78702980905626696</v>
      </c>
      <c r="S22" s="14">
        <v>4.7835071294731898E-2</v>
      </c>
      <c r="T22" s="14">
        <v>1.33921187257851E-4</v>
      </c>
      <c r="U22" s="14">
        <v>0.389452934265136</v>
      </c>
      <c r="V22" s="4">
        <v>5.0660257602002803</v>
      </c>
      <c r="W22" s="4">
        <v>0.855346508320174</v>
      </c>
      <c r="X22" s="4">
        <v>4.7852636108124597E-2</v>
      </c>
      <c r="Y22" s="4">
        <v>1.3391596415444801E-4</v>
      </c>
      <c r="Z22" s="4">
        <v>0.33267807960510198</v>
      </c>
      <c r="AA22" s="14">
        <v>4.8659135500447901</v>
      </c>
      <c r="AB22" s="14">
        <v>0.80604506674792997</v>
      </c>
      <c r="AC22" s="14">
        <v>4.7865330548302797E-2</v>
      </c>
      <c r="AD22" s="14">
        <v>1.33921568594059E-4</v>
      </c>
      <c r="AE22" s="14">
        <v>0.54658174514770497</v>
      </c>
      <c r="AF22" s="4">
        <v>5.2482587938525702</v>
      </c>
      <c r="AG22" s="4">
        <v>0.87969942139475399</v>
      </c>
      <c r="AH22" s="4">
        <v>4.7843154615266302E-2</v>
      </c>
      <c r="AI22" s="4">
        <v>1.33916338299614E-4</v>
      </c>
      <c r="AJ22" s="4">
        <v>0.83352231979370095</v>
      </c>
    </row>
    <row r="23" spans="2:36" x14ac:dyDescent="0.25">
      <c r="B23" s="4">
        <v>4.5033926098328001</v>
      </c>
      <c r="C23" s="4">
        <v>0.75511641042661903</v>
      </c>
      <c r="D23" s="4">
        <v>4.4845012962678503E-2</v>
      </c>
      <c r="E23" s="4">
        <v>1.3223692425413101E-4</v>
      </c>
      <c r="F23" s="4">
        <v>0.21985816955566401</v>
      </c>
      <c r="G23" s="14">
        <v>4.8659135500447901</v>
      </c>
      <c r="H23" s="14">
        <v>0.80604506674792997</v>
      </c>
      <c r="I23" s="14">
        <v>4.7850025925356997E-2</v>
      </c>
      <c r="J23" s="14">
        <v>1.3391539425830799E-4</v>
      </c>
      <c r="K23" s="14">
        <v>0.222387790679931</v>
      </c>
      <c r="L23" s="4">
        <v>5.4064631513318799</v>
      </c>
      <c r="M23" s="4">
        <v>0.87969942139475399</v>
      </c>
      <c r="N23" s="4">
        <v>4.79325388880356E-2</v>
      </c>
      <c r="O23" s="4">
        <v>1.33935670807651E-4</v>
      </c>
      <c r="P23" s="4">
        <v>0.24995470046997001</v>
      </c>
      <c r="Q23" s="14">
        <v>5.1555631562407296</v>
      </c>
      <c r="R23" s="14">
        <v>0.87969942139475399</v>
      </c>
      <c r="S23" s="14">
        <v>4.78575712947319E-2</v>
      </c>
      <c r="T23" s="14">
        <v>1.3391739636618101E-4</v>
      </c>
      <c r="U23" s="14">
        <v>0.277118921279907</v>
      </c>
      <c r="V23" s="4">
        <v>5.1555631562407296</v>
      </c>
      <c r="W23" s="4">
        <v>0.87969942139475399</v>
      </c>
      <c r="X23" s="4">
        <v>4.7857636108124699E-2</v>
      </c>
      <c r="Y23" s="4">
        <v>1.3391757953609199E-4</v>
      </c>
      <c r="Z23" s="4">
        <v>0.32961440086364702</v>
      </c>
      <c r="AA23" s="14">
        <v>5.0660257602002803</v>
      </c>
      <c r="AB23" s="14">
        <v>0.855346508320174</v>
      </c>
      <c r="AC23" s="14">
        <v>4.7852830548302798E-2</v>
      </c>
      <c r="AD23" s="14">
        <v>1.33916513664182E-4</v>
      </c>
      <c r="AE23" s="14">
        <v>0.50734710693359297</v>
      </c>
      <c r="AF23" s="4">
        <v>5.1122342239012397</v>
      </c>
      <c r="AG23" s="4">
        <v>0.855346508320174</v>
      </c>
      <c r="AH23" s="4">
        <v>4.7853154615266298E-2</v>
      </c>
      <c r="AI23" s="4">
        <v>1.33916073543671E-4</v>
      </c>
      <c r="AJ23" s="4">
        <v>0.81701493263244596</v>
      </c>
    </row>
    <row r="24" spans="2:36" x14ac:dyDescent="0.25">
      <c r="B24" s="4">
        <v>4.5673914929329396</v>
      </c>
      <c r="C24" s="4">
        <v>0.75511641042661903</v>
      </c>
      <c r="D24" s="4">
        <v>4.4845012962678503E-2</v>
      </c>
      <c r="E24" s="4">
        <v>1.32229361220904E-4</v>
      </c>
      <c r="F24" s="4">
        <v>0.20500302314758301</v>
      </c>
      <c r="G24" s="14">
        <v>4.8519449972323798</v>
      </c>
      <c r="H24" s="14">
        <v>0.80579230553816195</v>
      </c>
      <c r="I24" s="14">
        <v>4.7850025925356997E-2</v>
      </c>
      <c r="J24" s="14">
        <v>1.3391514061268501E-4</v>
      </c>
      <c r="K24" s="14">
        <v>0.22048783302307101</v>
      </c>
      <c r="L24" s="4">
        <v>4.8532425752229802</v>
      </c>
      <c r="M24" s="4">
        <v>0.80579230553816195</v>
      </c>
      <c r="N24" s="4">
        <v>4.7847538888035598E-2</v>
      </c>
      <c r="O24" s="4">
        <v>1.33917231857661E-4</v>
      </c>
      <c r="P24" s="4">
        <v>0.22810745239257799</v>
      </c>
      <c r="Q24" s="14">
        <v>5.2813134777197703</v>
      </c>
      <c r="R24" s="14">
        <v>0.87969942139475399</v>
      </c>
      <c r="S24" s="14">
        <v>4.78850712947319E-2</v>
      </c>
      <c r="T24" s="14">
        <v>1.3392424997274701E-4</v>
      </c>
      <c r="U24" s="14">
        <v>0.27209091186523399</v>
      </c>
      <c r="V24" s="4">
        <v>4.8865085898204299</v>
      </c>
      <c r="W24" s="4">
        <v>0.80604506674792997</v>
      </c>
      <c r="X24" s="4">
        <v>4.7842636108124698E-2</v>
      </c>
      <c r="Y24" s="4">
        <v>1.3391892413557201E-4</v>
      </c>
      <c r="Z24" s="4">
        <v>0.29948544502258301</v>
      </c>
      <c r="AA24" s="14">
        <v>5.1394443563259102</v>
      </c>
      <c r="AB24" s="14">
        <v>0.855346508320174</v>
      </c>
      <c r="AC24" s="14">
        <v>4.7840330548302799E-2</v>
      </c>
      <c r="AD24" s="14">
        <v>1.3391785396916901E-4</v>
      </c>
      <c r="AE24" s="14">
        <v>0.56244802474975497</v>
      </c>
      <c r="AF24" s="4">
        <v>4.8546454673817703</v>
      </c>
      <c r="AG24" s="4">
        <v>0.80604506674792997</v>
      </c>
      <c r="AH24" s="4">
        <v>4.7835654615266301E-2</v>
      </c>
      <c r="AI24" s="4">
        <v>1.3391791969272399E-4</v>
      </c>
      <c r="AJ24" s="4">
        <v>0.85503768920898404</v>
      </c>
    </row>
    <row r="25" spans="2:36" x14ac:dyDescent="0.25">
      <c r="B25" s="4">
        <v>4.5673914929329396</v>
      </c>
      <c r="C25" s="4">
        <v>0.75511641042661903</v>
      </c>
      <c r="D25" s="4">
        <v>4.4845012962678503E-2</v>
      </c>
      <c r="E25" s="4">
        <v>1.32221798187677E-4</v>
      </c>
      <c r="F25" s="4">
        <v>0.211128234863281</v>
      </c>
      <c r="G25" s="14">
        <v>4.88457126512131</v>
      </c>
      <c r="H25" s="14">
        <v>0.80604506674792997</v>
      </c>
      <c r="I25" s="14">
        <v>4.7832525925357097E-2</v>
      </c>
      <c r="J25" s="14">
        <v>1.33917557641819E-4</v>
      </c>
      <c r="K25" s="14">
        <v>0.22298312187194799</v>
      </c>
      <c r="L25" s="4">
        <v>5.2461342255167303</v>
      </c>
      <c r="M25" s="4">
        <v>0.87969942139475399</v>
      </c>
      <c r="N25" s="4">
        <v>4.7840038888035598E-2</v>
      </c>
      <c r="O25" s="4">
        <v>1.33915989395852E-4</v>
      </c>
      <c r="P25" s="4">
        <v>0.26530623435974099</v>
      </c>
      <c r="Q25" s="14">
        <v>5.1901347423155002</v>
      </c>
      <c r="R25" s="14">
        <v>0.87969942139475399</v>
      </c>
      <c r="S25" s="14">
        <v>4.7860071294731903E-2</v>
      </c>
      <c r="T25" s="14">
        <v>1.3391669843260999E-4</v>
      </c>
      <c r="U25" s="14">
        <v>0.25890827178955</v>
      </c>
      <c r="V25" s="4">
        <v>5.2861759721215797</v>
      </c>
      <c r="W25" s="4">
        <v>0.87969942139475399</v>
      </c>
      <c r="X25" s="4">
        <v>4.7867636108124598E-2</v>
      </c>
      <c r="Y25" s="4">
        <v>1.3391499956570999E-4</v>
      </c>
      <c r="Z25" s="4">
        <v>0.31969666481018</v>
      </c>
      <c r="AA25" s="14">
        <v>5.3216703692771299</v>
      </c>
      <c r="AB25" s="14">
        <v>0.87969942139475399</v>
      </c>
      <c r="AC25" s="14">
        <v>4.7905330548302802E-2</v>
      </c>
      <c r="AD25" s="14">
        <v>1.3392644193290301E-4</v>
      </c>
      <c r="AE25" s="14">
        <v>0.50159716606140103</v>
      </c>
      <c r="AF25" s="4">
        <v>5.2681976101332202</v>
      </c>
      <c r="AG25" s="4">
        <v>0.87969942139475399</v>
      </c>
      <c r="AH25" s="4">
        <v>4.7868154615266299E-2</v>
      </c>
      <c r="AI25" s="4">
        <v>1.33921542356681E-4</v>
      </c>
      <c r="AJ25" s="4">
        <v>0.832733154296875</v>
      </c>
    </row>
    <row r="26" spans="2:36" x14ac:dyDescent="0.25">
      <c r="B26" s="4">
        <v>4.5201319803780304</v>
      </c>
      <c r="C26" s="4">
        <v>0.75511641042661903</v>
      </c>
      <c r="D26" s="4">
        <v>4.4845012962678503E-2</v>
      </c>
      <c r="E26" s="4">
        <v>1.3221423515444999E-4</v>
      </c>
      <c r="F26" s="4">
        <v>0.24598479270935</v>
      </c>
      <c r="G26" s="14">
        <v>5.1555631562407296</v>
      </c>
      <c r="H26" s="14">
        <v>0.87969942139475399</v>
      </c>
      <c r="I26" s="14">
        <v>4.7847525925357098E-2</v>
      </c>
      <c r="J26" s="14">
        <v>1.3391368999417599E-4</v>
      </c>
      <c r="K26" s="14">
        <v>0.23683762550354001</v>
      </c>
      <c r="L26" s="4">
        <v>5.1889066736848903</v>
      </c>
      <c r="M26" s="4">
        <v>0.87969942139475399</v>
      </c>
      <c r="N26" s="4">
        <v>4.7850038888035601E-2</v>
      </c>
      <c r="O26" s="4">
        <v>1.3391669926256E-4</v>
      </c>
      <c r="P26" s="4">
        <v>0.23890328407287501</v>
      </c>
      <c r="Q26" s="14">
        <v>4.8546762990206798</v>
      </c>
      <c r="R26" s="14">
        <v>0.80604506674792997</v>
      </c>
      <c r="S26" s="14">
        <v>4.7842571294731899E-2</v>
      </c>
      <c r="T26" s="14">
        <v>1.33923699038254E-4</v>
      </c>
      <c r="U26" s="14">
        <v>0.241192817687988</v>
      </c>
      <c r="V26" s="4">
        <v>5.0655324504313803</v>
      </c>
      <c r="W26" s="4">
        <v>0.855346508320174</v>
      </c>
      <c r="X26" s="4">
        <v>4.7842636108124698E-2</v>
      </c>
      <c r="Y26" s="4">
        <v>1.3391594751152101E-4</v>
      </c>
      <c r="Z26" s="4">
        <v>0.28762221336364702</v>
      </c>
      <c r="AA26" s="14">
        <v>5.2813134777197703</v>
      </c>
      <c r="AB26" s="14">
        <v>0.87969942139475399</v>
      </c>
      <c r="AC26" s="14">
        <v>4.78478305483028E-2</v>
      </c>
      <c r="AD26" s="14">
        <v>1.3391621585819399E-4</v>
      </c>
      <c r="AE26" s="14">
        <v>0.53132796287536599</v>
      </c>
      <c r="AF26" s="4">
        <v>5.0227220890731799</v>
      </c>
      <c r="AG26" s="4">
        <v>0.855346508320174</v>
      </c>
      <c r="AH26" s="4">
        <v>4.7843154615266302E-2</v>
      </c>
      <c r="AI26" s="4">
        <v>1.33919899823575E-4</v>
      </c>
      <c r="AJ26" s="4">
        <v>0.86136317253112704</v>
      </c>
    </row>
    <row r="28" spans="2:36" x14ac:dyDescent="0.25">
      <c r="B28" s="61" t="s">
        <v>44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</row>
    <row r="29" spans="2:36" x14ac:dyDescent="0.25">
      <c r="B29" s="62" t="s">
        <v>19</v>
      </c>
      <c r="C29" s="63"/>
      <c r="D29" s="63"/>
      <c r="E29" s="63"/>
      <c r="F29" s="64"/>
      <c r="G29" s="65" t="s">
        <v>21</v>
      </c>
      <c r="H29" s="66"/>
      <c r="I29" s="66"/>
      <c r="J29" s="66"/>
      <c r="K29" s="67"/>
      <c r="L29" s="68" t="s">
        <v>22</v>
      </c>
      <c r="M29" s="69"/>
      <c r="N29" s="69"/>
      <c r="O29" s="69"/>
      <c r="P29" s="70"/>
      <c r="Q29" s="71" t="s">
        <v>16</v>
      </c>
      <c r="R29" s="72"/>
      <c r="S29" s="72"/>
      <c r="T29" s="72"/>
      <c r="U29" s="73"/>
      <c r="V29" s="68" t="s">
        <v>37</v>
      </c>
      <c r="W29" s="69"/>
      <c r="X29" s="69"/>
      <c r="Y29" s="69"/>
      <c r="Z29" s="70"/>
      <c r="AA29" s="71" t="s">
        <v>42</v>
      </c>
      <c r="AB29" s="72"/>
      <c r="AC29" s="72"/>
      <c r="AD29" s="72"/>
      <c r="AE29" s="73"/>
      <c r="AF29" s="68" t="s">
        <v>31</v>
      </c>
      <c r="AG29" s="69"/>
      <c r="AH29" s="69"/>
      <c r="AI29" s="69"/>
      <c r="AJ29" s="70"/>
    </row>
    <row r="30" spans="2:36" ht="60" x14ac:dyDescent="0.25">
      <c r="B30" s="13" t="s">
        <v>20</v>
      </c>
      <c r="C30" s="13" t="s">
        <v>9</v>
      </c>
      <c r="D30" s="13" t="s">
        <v>10</v>
      </c>
      <c r="E30" s="13" t="s">
        <v>23</v>
      </c>
      <c r="F30" s="13" t="s">
        <v>26</v>
      </c>
      <c r="G30" s="28" t="s">
        <v>20</v>
      </c>
      <c r="H30" s="28" t="s">
        <v>9</v>
      </c>
      <c r="I30" s="28" t="s">
        <v>10</v>
      </c>
      <c r="J30" s="28" t="s">
        <v>23</v>
      </c>
      <c r="K30" s="28" t="s">
        <v>26</v>
      </c>
      <c r="L30" s="13" t="s">
        <v>20</v>
      </c>
      <c r="M30" s="13" t="s">
        <v>9</v>
      </c>
      <c r="N30" s="13" t="s">
        <v>10</v>
      </c>
      <c r="O30" s="13" t="s">
        <v>23</v>
      </c>
      <c r="P30" s="13" t="s">
        <v>26</v>
      </c>
      <c r="Q30" s="28" t="s">
        <v>20</v>
      </c>
      <c r="R30" s="28" t="s">
        <v>9</v>
      </c>
      <c r="S30" s="28" t="s">
        <v>10</v>
      </c>
      <c r="T30" s="28" t="s">
        <v>23</v>
      </c>
      <c r="U30" s="28" t="s">
        <v>26</v>
      </c>
      <c r="V30" s="13" t="s">
        <v>20</v>
      </c>
      <c r="W30" s="13" t="s">
        <v>9</v>
      </c>
      <c r="X30" s="13" t="s">
        <v>10</v>
      </c>
      <c r="Y30" s="13" t="s">
        <v>23</v>
      </c>
      <c r="Z30" s="13" t="s">
        <v>26</v>
      </c>
      <c r="AA30" s="28" t="s">
        <v>20</v>
      </c>
      <c r="AB30" s="28" t="s">
        <v>9</v>
      </c>
      <c r="AC30" s="28" t="s">
        <v>10</v>
      </c>
      <c r="AD30" s="28" t="s">
        <v>23</v>
      </c>
      <c r="AE30" s="28" t="s">
        <v>26</v>
      </c>
      <c r="AF30" s="13" t="s">
        <v>20</v>
      </c>
      <c r="AG30" s="13" t="s">
        <v>9</v>
      </c>
      <c r="AH30" s="13" t="s">
        <v>10</v>
      </c>
      <c r="AI30" s="13" t="s">
        <v>23</v>
      </c>
      <c r="AJ30" s="13" t="s">
        <v>26</v>
      </c>
    </row>
    <row r="31" spans="2:36" x14ac:dyDescent="0.25">
      <c r="B31" s="4">
        <v>69.401945813401099</v>
      </c>
      <c r="C31" s="4">
        <v>9.0642809004641407</v>
      </c>
      <c r="D31" s="4">
        <v>6.2164238822761397E-2</v>
      </c>
      <c r="E31" s="4">
        <v>1.8113523540713401E-5</v>
      </c>
      <c r="F31" s="4">
        <v>2.1059374809265101</v>
      </c>
      <c r="G31" s="14">
        <v>3.92158754730682</v>
      </c>
      <c r="H31" s="14">
        <v>0.70745043162718302</v>
      </c>
      <c r="I31" s="14">
        <v>8.8056366468285296E-2</v>
      </c>
      <c r="J31" s="14">
        <v>2.79096427281892E-5</v>
      </c>
      <c r="K31" s="14">
        <v>2.2464616298675502</v>
      </c>
      <c r="L31" s="4">
        <v>3.81839148144461</v>
      </c>
      <c r="M31" s="4">
        <v>0.69895933379474995</v>
      </c>
      <c r="N31" s="4">
        <v>8.8401044113808502E-2</v>
      </c>
      <c r="O31" s="4">
        <v>2.80358393491259E-5</v>
      </c>
      <c r="P31" s="4">
        <v>2.4535984992980899</v>
      </c>
      <c r="Q31" s="14">
        <v>3.9247301670736698</v>
      </c>
      <c r="R31" s="14">
        <v>0.73391997844176504</v>
      </c>
      <c r="S31" s="14">
        <v>8.8616788227617399E-2</v>
      </c>
      <c r="T31" s="14">
        <v>2.81752679425879E-5</v>
      </c>
      <c r="U31" s="14">
        <v>2.3361291885375901</v>
      </c>
      <c r="V31" s="4">
        <v>3.8181739439976101</v>
      </c>
      <c r="W31" s="4">
        <v>0.69893563754981602</v>
      </c>
      <c r="X31" s="4">
        <v>8.8446251455234798E-2</v>
      </c>
      <c r="Y31" s="4">
        <v>2.8157871987388801E-5</v>
      </c>
      <c r="Z31" s="4">
        <v>2.6465549468994101</v>
      </c>
      <c r="AA31" s="14">
        <v>3.9278823802010101</v>
      </c>
      <c r="AB31" s="14">
        <v>0.72442486659046001</v>
      </c>
      <c r="AC31" s="14">
        <v>8.8203191138086501E-2</v>
      </c>
      <c r="AD31" s="14">
        <v>2.83035368819735E-5</v>
      </c>
      <c r="AE31" s="14">
        <v>3.06500816345214</v>
      </c>
      <c r="AF31" s="4">
        <v>3.8354882494398801</v>
      </c>
      <c r="AG31" s="4">
        <v>0.70595755176693498</v>
      </c>
      <c r="AH31" s="4">
        <v>8.8415207276172497E-2</v>
      </c>
      <c r="AI31" s="4">
        <v>2.8776972045180201E-5</v>
      </c>
      <c r="AJ31" s="4">
        <v>3.9523067474365199</v>
      </c>
    </row>
    <row r="32" spans="2:36" x14ac:dyDescent="0.25">
      <c r="B32" s="4">
        <v>68.916185153514803</v>
      </c>
      <c r="C32" s="4">
        <v>9.1648873614190691</v>
      </c>
      <c r="D32" s="4">
        <v>6.2164238822761397E-2</v>
      </c>
      <c r="E32" s="4">
        <v>1.80867406639186E-5</v>
      </c>
      <c r="F32" s="4">
        <v>1.8504958152770901</v>
      </c>
      <c r="G32" s="14">
        <v>3.92157571097757</v>
      </c>
      <c r="H32" s="76">
        <v>0.70745833035179795</v>
      </c>
      <c r="I32" s="14">
        <v>8.8056366468285296E-2</v>
      </c>
      <c r="J32" s="14">
        <v>2.79165756357338E-5</v>
      </c>
      <c r="K32" s="14">
        <v>2.13235211372375</v>
      </c>
      <c r="L32" s="4">
        <v>3.8887265129523798</v>
      </c>
      <c r="M32" s="4">
        <v>0.72133648232713898</v>
      </c>
      <c r="N32" s="4">
        <v>8.85403441138089E-2</v>
      </c>
      <c r="O32" s="4">
        <v>2.8099163570296E-5</v>
      </c>
      <c r="P32" s="4">
        <v>2.02778792381286</v>
      </c>
      <c r="Q32" s="14">
        <v>3.75917911978553</v>
      </c>
      <c r="R32" s="14">
        <v>0.691526665858333</v>
      </c>
      <c r="S32" s="14">
        <v>8.8391188227616796E-2</v>
      </c>
      <c r="T32" s="14">
        <v>2.8078570440168501E-5</v>
      </c>
      <c r="U32" s="14">
        <v>2.4931118488311701</v>
      </c>
      <c r="V32" s="4">
        <v>3.8006592263743402</v>
      </c>
      <c r="W32" s="4">
        <v>0.69891181163915606</v>
      </c>
      <c r="X32" s="4">
        <v>8.8456201455234806E-2</v>
      </c>
      <c r="Y32" s="4">
        <v>2.81696465383705E-5</v>
      </c>
      <c r="Z32" s="4">
        <v>2.28475618362426</v>
      </c>
      <c r="AA32" s="14">
        <v>3.7585106955345702</v>
      </c>
      <c r="AB32" s="14">
        <v>0.69152666588992395</v>
      </c>
      <c r="AC32" s="14">
        <v>8.8511741138086297E-2</v>
      </c>
      <c r="AD32" s="14">
        <v>2.8413531592332301E-5</v>
      </c>
      <c r="AE32" s="14">
        <v>3.03480005264282</v>
      </c>
      <c r="AF32" s="4">
        <v>3.92702068981834</v>
      </c>
      <c r="AG32" s="4">
        <v>0.72441696782635001</v>
      </c>
      <c r="AH32" s="4">
        <v>8.8353882276172899E-2</v>
      </c>
      <c r="AI32" s="4">
        <v>2.8740707252570802E-5</v>
      </c>
      <c r="AJ32" s="4">
        <v>4.0790760517120299</v>
      </c>
    </row>
    <row r="33" spans="2:36" x14ac:dyDescent="0.25">
      <c r="B33" s="4">
        <v>68.964609212397804</v>
      </c>
      <c r="C33" s="4">
        <v>9.1603220093477393</v>
      </c>
      <c r="D33" s="4">
        <v>6.2164238822761397E-2</v>
      </c>
      <c r="E33" s="4">
        <v>1.8099707152006E-5</v>
      </c>
      <c r="F33" s="4">
        <v>2.09901523590087</v>
      </c>
      <c r="G33" s="14">
        <v>3.7493659731015598</v>
      </c>
      <c r="H33" s="14">
        <v>0.683161811318722</v>
      </c>
      <c r="I33" s="14">
        <v>8.8273741468284997E-2</v>
      </c>
      <c r="J33" s="14">
        <v>2.79946164319667E-5</v>
      </c>
      <c r="K33" s="14">
        <v>2.2492113113403298</v>
      </c>
      <c r="L33" s="4">
        <v>3.7045606761650598</v>
      </c>
      <c r="M33" s="4">
        <v>0.68309849184027904</v>
      </c>
      <c r="N33" s="4">
        <v>8.8307994113808796E-2</v>
      </c>
      <c r="O33" s="4">
        <v>2.80145273619772E-5</v>
      </c>
      <c r="P33" s="4">
        <v>2.1771912574768</v>
      </c>
      <c r="Q33" s="14">
        <v>3.7296431460648098</v>
      </c>
      <c r="R33" s="14">
        <v>0.69921987718304002</v>
      </c>
      <c r="S33" s="14">
        <v>8.8323063227617099E-2</v>
      </c>
      <c r="T33" s="14">
        <v>2.80588246584969E-5</v>
      </c>
      <c r="U33" s="14">
        <v>2.14797663688659</v>
      </c>
      <c r="V33" s="4">
        <v>3.9457577664771999</v>
      </c>
      <c r="W33" s="4">
        <v>0.71548445965802898</v>
      </c>
      <c r="X33" s="4">
        <v>8.8446251455234701E-2</v>
      </c>
      <c r="Y33" s="4">
        <v>2.8164523725942199E-5</v>
      </c>
      <c r="Z33" s="4">
        <v>2.5861542224884002</v>
      </c>
      <c r="AA33" s="14">
        <v>3.7297592295119002</v>
      </c>
      <c r="AB33" s="14">
        <v>0.69921987721463796</v>
      </c>
      <c r="AC33" s="14">
        <v>8.8443616138086198E-2</v>
      </c>
      <c r="AD33" s="14">
        <v>2.8409425784168799E-5</v>
      </c>
      <c r="AE33" s="14">
        <v>3.10672783851623</v>
      </c>
      <c r="AF33" s="4">
        <v>3.8184299570617402</v>
      </c>
      <c r="AG33" s="4">
        <v>0.69896723257465598</v>
      </c>
      <c r="AH33" s="4">
        <v>8.8687357276172801E-2</v>
      </c>
      <c r="AI33" s="4">
        <v>2.8858936560529499E-5</v>
      </c>
      <c r="AJ33" s="4">
        <v>4.2503848075866699</v>
      </c>
    </row>
    <row r="34" spans="2:36" x14ac:dyDescent="0.25">
      <c r="B34" s="4">
        <v>69.172551685058906</v>
      </c>
      <c r="C34" s="4">
        <v>9.1551006546894005</v>
      </c>
      <c r="D34" s="4">
        <v>6.2164238822761397E-2</v>
      </c>
      <c r="E34" s="4">
        <v>1.8033174910329E-5</v>
      </c>
      <c r="F34" s="4">
        <v>1.9400660991668699</v>
      </c>
      <c r="G34" s="14">
        <v>3.7228043836025999</v>
      </c>
      <c r="H34" s="14">
        <v>0.69135268339149203</v>
      </c>
      <c r="I34" s="14">
        <v>8.8273741468284997E-2</v>
      </c>
      <c r="J34" s="14">
        <v>2.80154346836361E-5</v>
      </c>
      <c r="K34" s="14">
        <v>2.1871917247772199</v>
      </c>
      <c r="L34" s="4">
        <v>3.7230943156123502</v>
      </c>
      <c r="M34" s="4">
        <v>0.701629014446155</v>
      </c>
      <c r="N34" s="4">
        <v>8.8254894113808297E-2</v>
      </c>
      <c r="O34" s="4">
        <v>2.8002209630401E-5</v>
      </c>
      <c r="P34" s="4">
        <v>2.29831337928771</v>
      </c>
      <c r="Q34" s="14">
        <v>3.8354075310186002</v>
      </c>
      <c r="R34" s="14">
        <v>0.70599704545319797</v>
      </c>
      <c r="S34" s="14">
        <v>8.8143963227617098E-2</v>
      </c>
      <c r="T34" s="14">
        <v>2.7991991491029802E-5</v>
      </c>
      <c r="U34" s="14">
        <v>2.5393826961517298</v>
      </c>
      <c r="V34" s="4">
        <v>3.7290937930123</v>
      </c>
      <c r="W34" s="4">
        <v>0.69918828192124105</v>
      </c>
      <c r="X34" s="4">
        <v>8.8353201455234606E-2</v>
      </c>
      <c r="Y34" s="4">
        <v>2.8151395378405799E-5</v>
      </c>
      <c r="Z34" s="4">
        <v>2.5232589244842498</v>
      </c>
      <c r="AA34" s="14">
        <v>3.7232682335176799</v>
      </c>
      <c r="AB34" s="14">
        <v>0.70171590070127998</v>
      </c>
      <c r="AC34" s="14">
        <v>8.8390516138086503E-2</v>
      </c>
      <c r="AD34" s="14">
        <v>2.83951462158457E-5</v>
      </c>
      <c r="AE34" s="14">
        <v>3.0574562549590998</v>
      </c>
      <c r="AF34" s="4">
        <v>4.1305605019934903</v>
      </c>
      <c r="AG34" s="4">
        <v>0.74397459185471204</v>
      </c>
      <c r="AH34" s="4">
        <v>8.8718832276172804E-2</v>
      </c>
      <c r="AI34" s="4">
        <v>2.88892419446415E-5</v>
      </c>
      <c r="AJ34" s="4">
        <v>3.9828605651855402</v>
      </c>
    </row>
    <row r="35" spans="2:36" x14ac:dyDescent="0.25">
      <c r="B35" s="4">
        <v>69.139874543880694</v>
      </c>
      <c r="C35" s="4">
        <v>9.1556614690975096</v>
      </c>
      <c r="D35" s="4">
        <v>6.2164238822761397E-2</v>
      </c>
      <c r="E35" s="4">
        <v>1.8006392033534199E-5</v>
      </c>
      <c r="F35" s="4">
        <v>2.1525821685790998</v>
      </c>
      <c r="G35" s="14">
        <v>3.7406837238192101</v>
      </c>
      <c r="H35" s="14">
        <v>0.68639243354032298</v>
      </c>
      <c r="I35" s="14">
        <v>8.8292016468285106E-2</v>
      </c>
      <c r="J35" s="14">
        <v>2.7991976836474499E-5</v>
      </c>
      <c r="K35" s="14">
        <v>2.4780299663543701</v>
      </c>
      <c r="L35" s="4">
        <v>3.8355050764754099</v>
      </c>
      <c r="M35" s="4">
        <v>0.70596545052314497</v>
      </c>
      <c r="N35" s="4">
        <v>8.8128894113808406E-2</v>
      </c>
      <c r="O35" s="4">
        <v>2.7956683894845301E-5</v>
      </c>
      <c r="P35" s="4">
        <v>2.26269507408142</v>
      </c>
      <c r="Q35" s="14">
        <v>3.8649254430746902</v>
      </c>
      <c r="R35" s="14">
        <v>0.72606856813449305</v>
      </c>
      <c r="S35" s="14">
        <v>8.8565363227617599E-2</v>
      </c>
      <c r="T35" s="14">
        <v>2.8148309439684399E-5</v>
      </c>
      <c r="U35" s="14">
        <v>2.1721127033233598</v>
      </c>
      <c r="V35" s="4">
        <v>3.8079109139982701</v>
      </c>
      <c r="W35" s="4">
        <v>0.70885640099114799</v>
      </c>
      <c r="X35" s="4">
        <v>8.8203801455234501E-2</v>
      </c>
      <c r="Y35" s="4">
        <v>2.8106798485124302E-5</v>
      </c>
      <c r="Z35" s="4">
        <v>2.48196053504943</v>
      </c>
      <c r="AA35" s="14">
        <v>3.8078640276377702</v>
      </c>
      <c r="AB35" s="14">
        <v>0.70885640070679301</v>
      </c>
      <c r="AC35" s="14">
        <v>8.8294216138086398E-2</v>
      </c>
      <c r="AD35" s="14">
        <v>2.83683693983857E-5</v>
      </c>
      <c r="AE35" s="14">
        <v>3.0213196277618399</v>
      </c>
      <c r="AF35" s="4">
        <v>3.9283256783666101</v>
      </c>
      <c r="AG35" s="4">
        <v>0.71459088090707101</v>
      </c>
      <c r="AH35" s="4">
        <v>8.8391857276173103E-2</v>
      </c>
      <c r="AI35" s="4">
        <v>2.8784333993172201E-5</v>
      </c>
      <c r="AJ35" s="4">
        <v>4.0355627536773602</v>
      </c>
    </row>
    <row r="38" spans="2:36" x14ac:dyDescent="0.25">
      <c r="B38" s="61" t="s">
        <v>45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</row>
    <row r="39" spans="2:36" x14ac:dyDescent="0.25">
      <c r="B39" s="62" t="s">
        <v>19</v>
      </c>
      <c r="C39" s="63"/>
      <c r="D39" s="63"/>
      <c r="E39" s="63"/>
      <c r="F39" s="64"/>
      <c r="G39" s="65" t="s">
        <v>21</v>
      </c>
      <c r="H39" s="66"/>
      <c r="I39" s="66"/>
      <c r="J39" s="66"/>
      <c r="K39" s="67"/>
      <c r="L39" s="68" t="s">
        <v>22</v>
      </c>
      <c r="M39" s="69"/>
      <c r="N39" s="69"/>
      <c r="O39" s="69"/>
      <c r="P39" s="70"/>
      <c r="Q39" s="71" t="s">
        <v>16</v>
      </c>
      <c r="R39" s="72"/>
      <c r="S39" s="72"/>
      <c r="T39" s="72"/>
      <c r="U39" s="73"/>
      <c r="V39" s="68" t="s">
        <v>37</v>
      </c>
      <c r="W39" s="69"/>
      <c r="X39" s="69"/>
      <c r="Y39" s="69"/>
      <c r="Z39" s="70"/>
      <c r="AA39" s="71" t="s">
        <v>42</v>
      </c>
      <c r="AB39" s="72"/>
      <c r="AC39" s="72"/>
      <c r="AD39" s="72"/>
      <c r="AE39" s="73"/>
      <c r="AF39" s="68" t="s">
        <v>31</v>
      </c>
      <c r="AG39" s="69"/>
      <c r="AH39" s="69"/>
      <c r="AI39" s="69"/>
      <c r="AJ39" s="70"/>
    </row>
    <row r="40" spans="2:36" ht="60" x14ac:dyDescent="0.25">
      <c r="B40" s="13" t="s">
        <v>20</v>
      </c>
      <c r="C40" s="13" t="s">
        <v>9</v>
      </c>
      <c r="D40" s="13" t="s">
        <v>10</v>
      </c>
      <c r="E40" s="13" t="s">
        <v>23</v>
      </c>
      <c r="F40" s="13" t="s">
        <v>26</v>
      </c>
      <c r="G40" s="28" t="s">
        <v>20</v>
      </c>
      <c r="H40" s="28" t="s">
        <v>9</v>
      </c>
      <c r="I40" s="28" t="s">
        <v>10</v>
      </c>
      <c r="J40" s="28" t="s">
        <v>23</v>
      </c>
      <c r="K40" s="28" t="s">
        <v>26</v>
      </c>
      <c r="L40" s="13" t="s">
        <v>20</v>
      </c>
      <c r="M40" s="13" t="s">
        <v>9</v>
      </c>
      <c r="N40" s="13" t="s">
        <v>10</v>
      </c>
      <c r="O40" s="13" t="s">
        <v>23</v>
      </c>
      <c r="P40" s="13" t="s">
        <v>26</v>
      </c>
      <c r="Q40" s="28" t="s">
        <v>20</v>
      </c>
      <c r="R40" s="28" t="s">
        <v>9</v>
      </c>
      <c r="S40" s="28" t="s">
        <v>10</v>
      </c>
      <c r="T40" s="28" t="s">
        <v>23</v>
      </c>
      <c r="U40" s="28" t="s">
        <v>26</v>
      </c>
      <c r="V40" s="13" t="s">
        <v>20</v>
      </c>
      <c r="W40" s="13" t="s">
        <v>9</v>
      </c>
      <c r="X40" s="13" t="s">
        <v>10</v>
      </c>
      <c r="Y40" s="13" t="s">
        <v>23</v>
      </c>
      <c r="Z40" s="13" t="s">
        <v>26</v>
      </c>
      <c r="AA40" s="28" t="s">
        <v>20</v>
      </c>
      <c r="AB40" s="28" t="s">
        <v>9</v>
      </c>
      <c r="AC40" s="28" t="s">
        <v>10</v>
      </c>
      <c r="AD40" s="28" t="s">
        <v>23</v>
      </c>
      <c r="AE40" s="28" t="s">
        <v>26</v>
      </c>
      <c r="AF40" s="13" t="s">
        <v>20</v>
      </c>
      <c r="AG40" s="13" t="s">
        <v>9</v>
      </c>
      <c r="AH40" s="13" t="s">
        <v>10</v>
      </c>
      <c r="AI40" s="13" t="s">
        <v>23</v>
      </c>
      <c r="AJ40" s="13" t="s">
        <v>26</v>
      </c>
    </row>
    <row r="41" spans="2:36" x14ac:dyDescent="0.25">
      <c r="B41" s="4">
        <v>51.534758448698199</v>
      </c>
      <c r="C41" s="4">
        <v>7.5111975711519303</v>
      </c>
      <c r="D41" s="4">
        <v>273.03645301382198</v>
      </c>
      <c r="E41" s="4">
        <v>8.3449492866929996E-4</v>
      </c>
      <c r="F41" s="4">
        <v>2.0030987262725799</v>
      </c>
      <c r="G41" s="14">
        <v>28.7047098665868</v>
      </c>
      <c r="H41" s="14">
        <v>4.3249273089632396</v>
      </c>
      <c r="I41" s="14">
        <v>451.28820904146698</v>
      </c>
      <c r="J41" s="14">
        <v>1.62037235032067E-3</v>
      </c>
      <c r="K41" s="14">
        <v>2.0151906013488698</v>
      </c>
      <c r="L41" s="4">
        <v>13.316784155417499</v>
      </c>
      <c r="M41" s="4">
        <v>2.7267830961087398</v>
      </c>
      <c r="N41" s="4">
        <v>532.75201506911503</v>
      </c>
      <c r="O41" s="4">
        <v>1.94106490482312E-3</v>
      </c>
      <c r="P41" s="4">
        <v>2.1397950649261399</v>
      </c>
      <c r="Q41" s="14">
        <v>2.5283933315529201</v>
      </c>
      <c r="R41" s="14">
        <v>1.14168192851273</v>
      </c>
      <c r="S41" s="14">
        <v>605.459280138228</v>
      </c>
      <c r="T41" s="14">
        <v>2.2078398879622702E-3</v>
      </c>
      <c r="U41" s="14">
        <v>2.0364956855773899</v>
      </c>
      <c r="V41" s="77">
        <v>1.2239235822633501</v>
      </c>
      <c r="W41" s="77">
        <v>0.291595874096855</v>
      </c>
      <c r="X41" s="77">
        <v>583.81926027645295</v>
      </c>
      <c r="Y41" s="4">
        <v>2.1973805174095701E-3</v>
      </c>
      <c r="Z41" s="4"/>
      <c r="AA41" s="77">
        <v>2.5248051350512499</v>
      </c>
      <c r="AB41" s="77">
        <v>1.1418793936818901</v>
      </c>
      <c r="AC41" s="77">
        <v>600.56835069113697</v>
      </c>
      <c r="AD41" s="4">
        <v>2.2182442057037399E-3</v>
      </c>
      <c r="AE41" s="14"/>
      <c r="AF41" s="77">
        <v>2.4631755703498701</v>
      </c>
      <c r="AG41" s="77">
        <v>0.65063952620884302</v>
      </c>
      <c r="AH41" s="4">
        <v>593.40750138227497</v>
      </c>
      <c r="AI41" s="4">
        <v>2.25494845724612E-3</v>
      </c>
      <c r="AJ41" s="4"/>
    </row>
    <row r="42" spans="2:36" x14ac:dyDescent="0.25">
      <c r="B42" s="4">
        <v>47.441038840205799</v>
      </c>
      <c r="C42" s="4">
        <v>6.8700694734225403</v>
      </c>
      <c r="D42" s="4">
        <v>273.03645301382198</v>
      </c>
      <c r="E42" s="4">
        <v>8.3376820362961797E-4</v>
      </c>
      <c r="F42" s="4">
        <v>1.55470442771911</v>
      </c>
      <c r="G42" s="14">
        <v>29.424846300512399</v>
      </c>
      <c r="H42" s="14">
        <v>4.3675533552620296</v>
      </c>
      <c r="I42" s="14">
        <v>448.22835904147001</v>
      </c>
      <c r="J42" s="14">
        <v>1.6144406935293099E-3</v>
      </c>
      <c r="K42" s="14">
        <v>2.0086219310760498</v>
      </c>
      <c r="L42" s="4">
        <v>15.023520650181201</v>
      </c>
      <c r="M42" s="4">
        <v>2.6610517248231398</v>
      </c>
      <c r="N42" s="4">
        <v>530.84566506911301</v>
      </c>
      <c r="O42" s="4">
        <v>1.97883051137159E-3</v>
      </c>
      <c r="P42" s="4">
        <v>2.09482717514038</v>
      </c>
      <c r="Q42" s="14">
        <v>2.5054639833332701</v>
      </c>
      <c r="R42" s="14">
        <v>0.61801753538465398</v>
      </c>
      <c r="S42" s="14">
        <v>580.63263013822495</v>
      </c>
      <c r="T42" s="14">
        <v>2.19445779366019E-3</v>
      </c>
      <c r="U42" s="14">
        <v>2.1660568714141801</v>
      </c>
      <c r="V42" s="4">
        <v>2.47308191238207</v>
      </c>
      <c r="W42" s="77">
        <v>0.64988915596418495</v>
      </c>
      <c r="X42" s="77">
        <v>580.87116027645402</v>
      </c>
      <c r="Y42" s="4">
        <v>2.1965371140469699E-3</v>
      </c>
      <c r="Z42" s="4"/>
      <c r="AA42" s="77">
        <v>1.4170054907513701</v>
      </c>
      <c r="AB42" s="77">
        <v>0.39626657273645699</v>
      </c>
      <c r="AC42" s="77">
        <v>591.76530069113699</v>
      </c>
      <c r="AD42" s="4">
        <v>2.2475512328397301E-3</v>
      </c>
      <c r="AE42" s="14"/>
      <c r="AF42" s="77">
        <v>1.2150427982811001</v>
      </c>
      <c r="AG42" s="77">
        <v>0.32048175145630398</v>
      </c>
      <c r="AH42" s="77">
        <v>663.50445138227406</v>
      </c>
      <c r="AI42" s="4">
        <v>2.3719172806330501E-3</v>
      </c>
      <c r="AJ42" s="4"/>
    </row>
    <row r="43" spans="2:36" x14ac:dyDescent="0.25">
      <c r="B43" s="4">
        <v>51.407431806205501</v>
      </c>
      <c r="C43" s="4">
        <v>7.4953447063804202</v>
      </c>
      <c r="D43" s="4">
        <v>273.03645301382198</v>
      </c>
      <c r="E43" s="4">
        <v>8.3304147858993599E-4</v>
      </c>
      <c r="F43" s="4">
        <v>2.0061657428741402</v>
      </c>
      <c r="G43" s="14">
        <v>28.7278454218504</v>
      </c>
      <c r="H43" s="14">
        <v>4.2807676467698004</v>
      </c>
      <c r="I43" s="14">
        <v>451.13835904146703</v>
      </c>
      <c r="J43" s="14">
        <v>1.62083588745854E-3</v>
      </c>
      <c r="K43" s="14">
        <v>1.93470978736877</v>
      </c>
      <c r="L43" s="4">
        <v>21.7545930934218</v>
      </c>
      <c r="M43" s="4">
        <v>3.7011711921809001</v>
      </c>
      <c r="N43" s="4">
        <v>536.84491506911297</v>
      </c>
      <c r="O43" s="4">
        <v>1.9934728950439001E-3</v>
      </c>
      <c r="P43" s="4">
        <v>1.8163373470306301</v>
      </c>
      <c r="Q43" s="14">
        <v>1.99410222067098</v>
      </c>
      <c r="R43" s="14">
        <v>0.59871207817503203</v>
      </c>
      <c r="S43" s="14">
        <v>640.72038013822601</v>
      </c>
      <c r="T43" s="14">
        <v>2.3330670552884399E-3</v>
      </c>
      <c r="U43" s="14">
        <v>2.2554373741149898</v>
      </c>
      <c r="V43" s="77">
        <v>2.46663730608114</v>
      </c>
      <c r="W43" s="77">
        <v>0.61985010121612905</v>
      </c>
      <c r="X43" s="77">
        <v>581.31186027645401</v>
      </c>
      <c r="Y43" s="4">
        <v>2.1855435344302399E-3</v>
      </c>
      <c r="Z43" s="4"/>
      <c r="AA43" s="77">
        <v>1.22223783116493</v>
      </c>
      <c r="AB43" s="77">
        <v>0.28641068505391798</v>
      </c>
      <c r="AC43" s="77">
        <v>586.48185069113595</v>
      </c>
      <c r="AD43" s="4">
        <v>2.22548368333261E-3</v>
      </c>
      <c r="AE43" s="14"/>
      <c r="AF43" s="77">
        <v>1.3735209485623401</v>
      </c>
      <c r="AG43" s="77">
        <v>0.3133565414276</v>
      </c>
      <c r="AH43" s="77">
        <v>681.982951382274</v>
      </c>
      <c r="AI43" s="4">
        <v>2.4662849859695599E-3</v>
      </c>
      <c r="AJ43" s="4"/>
    </row>
    <row r="44" spans="2:36" x14ac:dyDescent="0.25">
      <c r="B44" s="4">
        <v>47.441038840205799</v>
      </c>
      <c r="C44" s="4">
        <v>6.8700694734225403</v>
      </c>
      <c r="D44" s="4">
        <v>273.03645301382198</v>
      </c>
      <c r="E44" s="4">
        <v>8.32314753550254E-4</v>
      </c>
      <c r="F44" s="4">
        <v>1.6425089836120601</v>
      </c>
      <c r="G44" s="14">
        <v>30.206496194313299</v>
      </c>
      <c r="H44" s="14">
        <v>4.8971325603733797</v>
      </c>
      <c r="I44" s="14">
        <v>448.926159041468</v>
      </c>
      <c r="J44" s="14">
        <v>1.6157058500708399E-3</v>
      </c>
      <c r="K44" s="14">
        <v>1.95931267738342</v>
      </c>
      <c r="L44" s="4">
        <v>14.861651993676199</v>
      </c>
      <c r="M44" s="4">
        <v>2.6977647681994399</v>
      </c>
      <c r="N44" s="4">
        <v>532.19251506911303</v>
      </c>
      <c r="O44" s="4">
        <v>1.9751335888972999E-3</v>
      </c>
      <c r="P44" s="4">
        <v>1.7123663425445499</v>
      </c>
      <c r="Q44" s="14">
        <v>3.7727422390851002</v>
      </c>
      <c r="R44" s="14">
        <v>0.80488798009291895</v>
      </c>
      <c r="S44" s="14">
        <v>645.81693013822496</v>
      </c>
      <c r="T44" s="14">
        <v>2.2039910879153302E-3</v>
      </c>
      <c r="U44" s="14">
        <v>1.74504089355468</v>
      </c>
      <c r="V44" s="77">
        <v>1.25347599591047</v>
      </c>
      <c r="W44" s="77">
        <v>0.31612950799357298</v>
      </c>
      <c r="X44" s="77">
        <v>586.48626027645503</v>
      </c>
      <c r="Y44" s="4">
        <v>2.2152287956014598E-3</v>
      </c>
      <c r="Z44" s="4"/>
      <c r="AA44" s="77">
        <v>1.7763397725902501</v>
      </c>
      <c r="AB44" s="77">
        <v>0.43837674903518298</v>
      </c>
      <c r="AC44" s="77">
        <v>686.72430069113602</v>
      </c>
      <c r="AD44" s="4">
        <v>2.2730587382399801E-3</v>
      </c>
      <c r="AE44" s="14"/>
      <c r="AF44" s="77">
        <v>1.2548157108557301</v>
      </c>
      <c r="AG44" s="77">
        <v>0.31061624754732797</v>
      </c>
      <c r="AH44" s="77">
        <v>590.53215138227699</v>
      </c>
      <c r="AI44" s="4">
        <v>2.2430085689082099E-3</v>
      </c>
      <c r="AJ44" s="4"/>
    </row>
    <row r="45" spans="2:36" x14ac:dyDescent="0.25">
      <c r="B45" s="4">
        <v>47.721300389215898</v>
      </c>
      <c r="C45" s="4">
        <v>6.9068462157952402</v>
      </c>
      <c r="D45" s="4">
        <v>273.03645301382198</v>
      </c>
      <c r="E45" s="4">
        <v>8.3158802851057202E-4</v>
      </c>
      <c r="F45" s="4">
        <v>1.9367861747741699</v>
      </c>
      <c r="G45" s="14">
        <v>29.7049678547626</v>
      </c>
      <c r="H45" s="14">
        <v>4.4056156876626904</v>
      </c>
      <c r="I45" s="14">
        <v>449.82255904147002</v>
      </c>
      <c r="J45" s="14">
        <v>1.61884572124029E-3</v>
      </c>
      <c r="K45" s="14">
        <v>2.0695762634277299</v>
      </c>
      <c r="L45" s="4">
        <v>13.3602649907928</v>
      </c>
      <c r="M45" s="4">
        <v>2.6486961589326299</v>
      </c>
      <c r="N45" s="4">
        <v>532.86016506911199</v>
      </c>
      <c r="O45" s="4">
        <v>1.9749130853097502E-3</v>
      </c>
      <c r="P45" s="4">
        <v>2.1647706031799299</v>
      </c>
      <c r="Q45" s="14">
        <v>2.6151427171225698</v>
      </c>
      <c r="R45" s="14">
        <v>1.13446250065166</v>
      </c>
      <c r="S45" s="14">
        <v>610.01763013822597</v>
      </c>
      <c r="T45" s="14">
        <v>2.2685998151311402E-3</v>
      </c>
      <c r="U45" s="14">
        <v>2.27978086471557</v>
      </c>
      <c r="V45" s="77">
        <v>2.4665934022292899</v>
      </c>
      <c r="W45" s="77">
        <v>0.61858629698398204</v>
      </c>
      <c r="X45" s="77">
        <v>581.17356027645405</v>
      </c>
      <c r="Y45" s="4">
        <v>2.1796156354729301E-3</v>
      </c>
      <c r="Z45" s="4"/>
      <c r="AA45" s="77">
        <v>1.24225733836358</v>
      </c>
      <c r="AB45" s="77">
        <v>0.29735860494803701</v>
      </c>
      <c r="AC45" s="77">
        <v>590.08425069113696</v>
      </c>
      <c r="AD45" s="4">
        <v>2.2398103332973902E-3</v>
      </c>
      <c r="AE45" s="14"/>
      <c r="AF45" s="77">
        <v>2.2267490054296402</v>
      </c>
      <c r="AG45" s="77">
        <v>0.46094320190730698</v>
      </c>
      <c r="AH45" s="77">
        <v>601.413001382277</v>
      </c>
      <c r="AI45" s="4">
        <v>2.2662423980377199E-3</v>
      </c>
      <c r="AJ45" s="4"/>
    </row>
    <row r="47" spans="2:36" x14ac:dyDescent="0.25">
      <c r="B47" s="61" t="s">
        <v>46</v>
      </c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</row>
    <row r="48" spans="2:36" x14ac:dyDescent="0.25">
      <c r="B48" s="62" t="s">
        <v>19</v>
      </c>
      <c r="C48" s="63"/>
      <c r="D48" s="63"/>
      <c r="E48" s="63"/>
      <c r="F48" s="64"/>
      <c r="G48" s="65" t="s">
        <v>21</v>
      </c>
      <c r="H48" s="66"/>
      <c r="I48" s="66"/>
      <c r="J48" s="66"/>
      <c r="K48" s="67"/>
      <c r="L48" s="68" t="s">
        <v>22</v>
      </c>
      <c r="M48" s="69"/>
      <c r="N48" s="69"/>
      <c r="O48" s="69"/>
      <c r="P48" s="70"/>
      <c r="Q48" s="71" t="s">
        <v>16</v>
      </c>
      <c r="R48" s="72"/>
      <c r="S48" s="72"/>
      <c r="T48" s="72"/>
      <c r="U48" s="73"/>
      <c r="V48" s="68" t="s">
        <v>37</v>
      </c>
      <c r="W48" s="69"/>
      <c r="X48" s="69"/>
      <c r="Y48" s="69"/>
      <c r="Z48" s="70"/>
      <c r="AA48" s="71" t="s">
        <v>42</v>
      </c>
      <c r="AB48" s="72"/>
      <c r="AC48" s="72"/>
      <c r="AD48" s="72"/>
      <c r="AE48" s="73"/>
      <c r="AF48" s="68" t="s">
        <v>31</v>
      </c>
      <c r="AG48" s="69"/>
      <c r="AH48" s="69"/>
      <c r="AI48" s="69"/>
      <c r="AJ48" s="70"/>
    </row>
    <row r="49" spans="2:36" ht="60" x14ac:dyDescent="0.25">
      <c r="B49" s="13" t="s">
        <v>20</v>
      </c>
      <c r="C49" s="13" t="s">
        <v>9</v>
      </c>
      <c r="D49" s="13" t="s">
        <v>10</v>
      </c>
      <c r="E49" s="13" t="s">
        <v>23</v>
      </c>
      <c r="F49" s="13" t="s">
        <v>26</v>
      </c>
      <c r="G49" s="28" t="s">
        <v>20</v>
      </c>
      <c r="H49" s="28" t="s">
        <v>9</v>
      </c>
      <c r="I49" s="28" t="s">
        <v>10</v>
      </c>
      <c r="J49" s="28" t="s">
        <v>23</v>
      </c>
      <c r="K49" s="28" t="s">
        <v>26</v>
      </c>
      <c r="L49" s="13" t="s">
        <v>20</v>
      </c>
      <c r="M49" s="13" t="s">
        <v>9</v>
      </c>
      <c r="N49" s="13" t="s">
        <v>10</v>
      </c>
      <c r="O49" s="13" t="s">
        <v>23</v>
      </c>
      <c r="P49" s="13" t="s">
        <v>26</v>
      </c>
      <c r="Q49" s="28" t="s">
        <v>20</v>
      </c>
      <c r="R49" s="28" t="s">
        <v>9</v>
      </c>
      <c r="S49" s="28" t="s">
        <v>10</v>
      </c>
      <c r="T49" s="28" t="s">
        <v>23</v>
      </c>
      <c r="U49" s="28" t="s">
        <v>26</v>
      </c>
      <c r="V49" s="13" t="s">
        <v>20</v>
      </c>
      <c r="W49" s="13" t="s">
        <v>9</v>
      </c>
      <c r="X49" s="13" t="s">
        <v>10</v>
      </c>
      <c r="Y49" s="13" t="s">
        <v>23</v>
      </c>
      <c r="Z49" s="13" t="s">
        <v>26</v>
      </c>
      <c r="AA49" s="28" t="s">
        <v>20</v>
      </c>
      <c r="AB49" s="28" t="s">
        <v>9</v>
      </c>
      <c r="AC49" s="28" t="s">
        <v>10</v>
      </c>
      <c r="AD49" s="28" t="s">
        <v>23</v>
      </c>
      <c r="AE49" s="28" t="s">
        <v>26</v>
      </c>
      <c r="AF49" s="13" t="s">
        <v>20</v>
      </c>
      <c r="AG49" s="13" t="s">
        <v>9</v>
      </c>
      <c r="AH49" s="13" t="s">
        <v>10</v>
      </c>
      <c r="AI49" s="13" t="s">
        <v>23</v>
      </c>
      <c r="AJ49" s="13" t="s">
        <v>26</v>
      </c>
    </row>
    <row r="50" spans="2:36" x14ac:dyDescent="0.25">
      <c r="B50" s="77">
        <v>110.960242395571</v>
      </c>
      <c r="C50" s="77">
        <v>14.886534019426801</v>
      </c>
      <c r="D50" s="4">
        <v>37.764453013822703</v>
      </c>
      <c r="E50" s="77">
        <v>1.23654149841055E-2</v>
      </c>
      <c r="F50" s="4"/>
      <c r="G50" s="78">
        <v>1.7838445479342599</v>
      </c>
      <c r="H50" s="78">
        <v>0.432005861033949</v>
      </c>
      <c r="I50" s="78">
        <v>85.381409041468004</v>
      </c>
      <c r="J50" s="14">
        <v>4.1360756372202601E-2</v>
      </c>
      <c r="K50" s="14"/>
      <c r="L50" s="77">
        <v>1.6720673273862301</v>
      </c>
      <c r="M50" s="77">
        <v>0.37887873524802301</v>
      </c>
      <c r="N50" s="77">
        <v>89.258565069113899</v>
      </c>
      <c r="O50" s="77">
        <v>4.2741139770832798E-2</v>
      </c>
      <c r="P50" s="4"/>
      <c r="Q50" s="78">
        <v>1.5921213234526701</v>
      </c>
      <c r="R50" s="78">
        <v>0.40729726930416399</v>
      </c>
      <c r="S50" s="78">
        <v>91.551510276455005</v>
      </c>
      <c r="T50" s="14">
        <v>4.3159718149623397E-2</v>
      </c>
      <c r="U50" s="14"/>
      <c r="V50" s="79">
        <v>1.5921213234526701</v>
      </c>
      <c r="W50" s="79">
        <v>0.40729726930416399</v>
      </c>
      <c r="X50" s="79">
        <v>91.551510276455005</v>
      </c>
      <c r="Y50" s="7">
        <v>4.3159718149623397E-2</v>
      </c>
      <c r="Z50" s="4"/>
      <c r="AA50" s="78">
        <v>1.18417551201495</v>
      </c>
      <c r="AB50" s="78">
        <v>0.29371402345561898</v>
      </c>
      <c r="AC50" s="78">
        <v>91.491900691138397</v>
      </c>
      <c r="AD50" s="14">
        <v>4.3185610433137102E-2</v>
      </c>
      <c r="AE50" s="14"/>
      <c r="AF50" s="77">
        <v>1.7955341840975401</v>
      </c>
      <c r="AG50" s="77">
        <v>0.39505545632259298</v>
      </c>
      <c r="AH50" s="77">
        <v>91.342801382276306</v>
      </c>
      <c r="AI50" s="4">
        <v>4.3148335116756302E-2</v>
      </c>
      <c r="AJ50" s="4"/>
    </row>
    <row r="51" spans="2:36" x14ac:dyDescent="0.25">
      <c r="B51" s="77">
        <v>109.09935532758</v>
      </c>
      <c r="C51" s="77">
        <v>14.722658579739599</v>
      </c>
      <c r="D51" s="4">
        <v>37.764453013822703</v>
      </c>
      <c r="E51" s="4">
        <v>1.24237129673637E-2</v>
      </c>
      <c r="F51" s="4"/>
      <c r="G51" s="78">
        <v>1.6161174414455699</v>
      </c>
      <c r="H51" s="78">
        <v>0.37060896240450902</v>
      </c>
      <c r="I51" s="78">
        <v>85.311759041468093</v>
      </c>
      <c r="J51" s="14">
        <v>4.1328550096303603E-2</v>
      </c>
      <c r="K51" s="14"/>
      <c r="L51" s="77">
        <v>4.0223737310079999</v>
      </c>
      <c r="M51" s="4">
        <v>0.70342314678485995</v>
      </c>
      <c r="N51" s="4">
        <v>89.149115069113805</v>
      </c>
      <c r="O51" s="4">
        <v>4.2793203043862998E-2</v>
      </c>
      <c r="P51" s="4"/>
      <c r="Q51" s="78">
        <v>2.31513357269582</v>
      </c>
      <c r="R51" s="14">
        <v>0.68298680384770205</v>
      </c>
      <c r="S51" s="78">
        <v>91.213210276454902</v>
      </c>
      <c r="T51" s="14">
        <v>4.3077361818759902E-2</v>
      </c>
      <c r="U51" s="14"/>
      <c r="V51" s="79">
        <v>2.31513357269582</v>
      </c>
      <c r="W51" s="7">
        <v>0.68298680384770205</v>
      </c>
      <c r="X51" s="79">
        <v>91.213210276454902</v>
      </c>
      <c r="Y51" s="7">
        <v>4.3077361818759902E-2</v>
      </c>
      <c r="Z51" s="4"/>
      <c r="AA51" s="78">
        <v>2.69928467427067</v>
      </c>
      <c r="AB51" s="78">
        <v>0.81768226895754204</v>
      </c>
      <c r="AC51" s="78">
        <v>91.233200691138293</v>
      </c>
      <c r="AD51" s="14">
        <v>4.3110243697656397E-2</v>
      </c>
      <c r="AE51" s="14"/>
      <c r="AF51" s="77">
        <v>2.07607550058085</v>
      </c>
      <c r="AG51" s="77">
        <v>0.408842182670765</v>
      </c>
      <c r="AH51" s="77">
        <v>91.223401382276194</v>
      </c>
      <c r="AI51" s="77">
        <v>4.3092162265982802E-2</v>
      </c>
      <c r="AJ51" s="4"/>
    </row>
    <row r="52" spans="2:36" x14ac:dyDescent="0.25">
      <c r="B52" s="77">
        <v>110.016561088787</v>
      </c>
      <c r="C52" s="77">
        <v>14.7756529161299</v>
      </c>
      <c r="D52" s="4">
        <v>37.764453013822703</v>
      </c>
      <c r="E52" s="77">
        <v>1.23895547772919E-2</v>
      </c>
      <c r="F52" s="4"/>
      <c r="G52" s="78">
        <v>2.2359017378345798</v>
      </c>
      <c r="H52" s="78">
        <v>0.65451905408516498</v>
      </c>
      <c r="I52" s="78">
        <v>85.162509041468198</v>
      </c>
      <c r="J52" s="14">
        <v>4.1276208221709597E-2</v>
      </c>
      <c r="K52" s="14"/>
      <c r="L52" s="77">
        <v>1.2575794092697901</v>
      </c>
      <c r="M52" s="77">
        <v>0.322080273622883</v>
      </c>
      <c r="N52" s="77">
        <v>89.377965069113699</v>
      </c>
      <c r="O52" s="4">
        <v>4.2740536054842099E-2</v>
      </c>
      <c r="P52" s="4"/>
      <c r="Q52" s="78">
        <v>2.57823615594612</v>
      </c>
      <c r="R52" s="78">
        <v>0.63288141088705296</v>
      </c>
      <c r="S52" s="78">
        <v>91.203260276454799</v>
      </c>
      <c r="T52" s="78">
        <v>4.3125444269527899E-2</v>
      </c>
      <c r="U52" s="14"/>
      <c r="V52" s="79">
        <v>2.57823615594612</v>
      </c>
      <c r="W52" s="79">
        <v>0.63288141088705296</v>
      </c>
      <c r="X52" s="79">
        <v>91.203260276454799</v>
      </c>
      <c r="Y52" s="79">
        <v>4.3125444269527899E-2</v>
      </c>
      <c r="Z52" s="4"/>
      <c r="AA52" s="78">
        <v>2.71676693499063</v>
      </c>
      <c r="AB52" s="78">
        <v>0.82378007654097396</v>
      </c>
      <c r="AC52" s="78">
        <v>91.243150691137899</v>
      </c>
      <c r="AD52" s="14">
        <v>4.3127554310477802E-2</v>
      </c>
      <c r="AE52" s="14"/>
      <c r="AF52" s="77">
        <v>1.3222852426885501</v>
      </c>
      <c r="AG52" s="77">
        <v>0.32333278851789998</v>
      </c>
      <c r="AH52" s="77">
        <v>91.551751382276507</v>
      </c>
      <c r="AI52" s="4">
        <v>4.3180656168404101E-2</v>
      </c>
      <c r="AJ52" s="4"/>
    </row>
    <row r="53" spans="2:36" x14ac:dyDescent="0.25">
      <c r="B53" s="77">
        <v>108.27492437792699</v>
      </c>
      <c r="C53" s="77">
        <v>14.572622377155801</v>
      </c>
      <c r="D53" s="4">
        <v>37.764453013822703</v>
      </c>
      <c r="E53" s="77">
        <v>1.24434159724017E-2</v>
      </c>
      <c r="F53" s="4"/>
      <c r="G53" s="78">
        <v>3.0408702370046301</v>
      </c>
      <c r="H53" s="78">
        <v>0.73141110142483701</v>
      </c>
      <c r="I53" s="78">
        <v>85.0928590414685</v>
      </c>
      <c r="J53" s="78">
        <v>4.1269145797350699E-2</v>
      </c>
      <c r="K53" s="14"/>
      <c r="L53" s="77">
        <v>1.1265922043752099</v>
      </c>
      <c r="M53" s="77">
        <v>0.29774070400668001</v>
      </c>
      <c r="N53" s="77">
        <v>89.467515069113503</v>
      </c>
      <c r="O53" s="77">
        <v>4.2767327441868501E-2</v>
      </c>
      <c r="P53" s="4"/>
      <c r="Q53" s="78">
        <v>1.1915279772971401</v>
      </c>
      <c r="R53" s="78">
        <v>0.29718158594681698</v>
      </c>
      <c r="S53" s="78">
        <v>91.561460276455094</v>
      </c>
      <c r="T53" s="14">
        <v>4.3207749361060303E-2</v>
      </c>
      <c r="U53" s="14"/>
      <c r="V53" s="79">
        <v>1.1915279772971401</v>
      </c>
      <c r="W53" s="79">
        <v>0.29718158594681698</v>
      </c>
      <c r="X53" s="79">
        <v>91.561460276455094</v>
      </c>
      <c r="Y53" s="7">
        <v>4.3207749361060303E-2</v>
      </c>
      <c r="Z53" s="4"/>
      <c r="AA53" s="78">
        <v>1.18968752067598</v>
      </c>
      <c r="AB53" s="14">
        <v>0.297165789603413</v>
      </c>
      <c r="AC53" s="78">
        <v>91.561550691138393</v>
      </c>
      <c r="AD53" s="14">
        <v>4.3212307181929997E-2</v>
      </c>
      <c r="AE53" s="14"/>
      <c r="AF53" s="77">
        <v>1.2935765195572</v>
      </c>
      <c r="AG53" s="77">
        <v>0.32212428275127503</v>
      </c>
      <c r="AH53" s="77">
        <v>91.551751382276507</v>
      </c>
      <c r="AI53" s="4">
        <v>4.3180023563606403E-2</v>
      </c>
      <c r="AJ53" s="4"/>
    </row>
    <row r="54" spans="2:36" x14ac:dyDescent="0.25">
      <c r="B54" s="77">
        <v>109.120779457315</v>
      </c>
      <c r="C54" s="77">
        <v>14.6686084779717</v>
      </c>
      <c r="D54" s="4">
        <v>37.764453013822703</v>
      </c>
      <c r="E54" s="77">
        <v>1.2413912150733E-2</v>
      </c>
      <c r="F54" s="4"/>
      <c r="G54" s="78">
        <v>1.1160469998301801</v>
      </c>
      <c r="H54" s="78">
        <v>0.26204040149491598</v>
      </c>
      <c r="I54" s="78">
        <v>85.500809041468202</v>
      </c>
      <c r="J54" s="14">
        <v>4.13656429917411E-2</v>
      </c>
      <c r="K54" s="14"/>
      <c r="L54" s="77">
        <v>1.8513797154314</v>
      </c>
      <c r="M54" s="77">
        <v>0.42298419839332502</v>
      </c>
      <c r="N54" s="4">
        <v>89.567015069113594</v>
      </c>
      <c r="O54" s="4">
        <v>4.2791715289130498E-2</v>
      </c>
      <c r="P54" s="4"/>
      <c r="Q54" s="78">
        <v>1.1896531959310901</v>
      </c>
      <c r="R54" s="78">
        <v>0.29663657331645699</v>
      </c>
      <c r="S54" s="78">
        <v>91.491810276455197</v>
      </c>
      <c r="T54" s="14">
        <v>4.3212054842047903E-2</v>
      </c>
      <c r="U54" s="14"/>
      <c r="V54" s="79">
        <v>1.1896531959310901</v>
      </c>
      <c r="W54" s="79">
        <v>0.29663657331645699</v>
      </c>
      <c r="X54" s="79">
        <v>91.491810276455197</v>
      </c>
      <c r="Y54" s="7">
        <v>4.3212054842047903E-2</v>
      </c>
      <c r="Z54" s="4"/>
      <c r="AA54" s="78">
        <v>4.3025522519206403</v>
      </c>
      <c r="AB54" s="78">
        <v>0.74483482758260799</v>
      </c>
      <c r="AC54" s="78">
        <v>91.223250691138404</v>
      </c>
      <c r="AD54" s="14">
        <v>4.3139544002903797E-2</v>
      </c>
      <c r="AE54" s="14"/>
      <c r="AF54" s="77">
        <v>2.3205117813752301</v>
      </c>
      <c r="AG54" s="4">
        <v>0.68211003188483799</v>
      </c>
      <c r="AH54" s="77">
        <v>91.213451382276602</v>
      </c>
      <c r="AI54" s="4">
        <v>4.3077329358675698E-2</v>
      </c>
      <c r="AJ54" s="4"/>
    </row>
    <row r="56" spans="2:36" x14ac:dyDescent="0.25">
      <c r="B56" s="61" t="s">
        <v>47</v>
      </c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</row>
    <row r="57" spans="2:36" x14ac:dyDescent="0.25">
      <c r="B57" s="62" t="s">
        <v>19</v>
      </c>
      <c r="C57" s="63"/>
      <c r="D57" s="63"/>
      <c r="E57" s="63"/>
      <c r="F57" s="64"/>
      <c r="G57" s="65" t="s">
        <v>21</v>
      </c>
      <c r="H57" s="66"/>
      <c r="I57" s="66"/>
      <c r="J57" s="66"/>
      <c r="K57" s="67"/>
      <c r="L57" s="68" t="s">
        <v>22</v>
      </c>
      <c r="M57" s="69"/>
      <c r="N57" s="69"/>
      <c r="O57" s="69"/>
      <c r="P57" s="70"/>
      <c r="Q57" s="71" t="s">
        <v>16</v>
      </c>
      <c r="R57" s="72"/>
      <c r="S57" s="72"/>
      <c r="T57" s="72"/>
      <c r="U57" s="73"/>
      <c r="V57" s="68" t="s">
        <v>37</v>
      </c>
      <c r="W57" s="69"/>
      <c r="X57" s="69"/>
      <c r="Y57" s="69"/>
      <c r="Z57" s="70"/>
      <c r="AA57" s="71" t="s">
        <v>42</v>
      </c>
      <c r="AB57" s="72"/>
      <c r="AC57" s="72"/>
      <c r="AD57" s="72"/>
      <c r="AE57" s="73"/>
      <c r="AF57" s="68" t="s">
        <v>31</v>
      </c>
      <c r="AG57" s="69"/>
      <c r="AH57" s="69"/>
      <c r="AI57" s="69"/>
      <c r="AJ57" s="70"/>
    </row>
    <row r="58" spans="2:36" ht="60" x14ac:dyDescent="0.25">
      <c r="B58" s="13" t="s">
        <v>20</v>
      </c>
      <c r="C58" s="13" t="s">
        <v>9</v>
      </c>
      <c r="D58" s="13" t="s">
        <v>10</v>
      </c>
      <c r="E58" s="13" t="s">
        <v>23</v>
      </c>
      <c r="F58" s="13" t="s">
        <v>26</v>
      </c>
      <c r="G58" s="28" t="s">
        <v>20</v>
      </c>
      <c r="H58" s="28" t="s">
        <v>9</v>
      </c>
      <c r="I58" s="28" t="s">
        <v>10</v>
      </c>
      <c r="J58" s="28" t="s">
        <v>23</v>
      </c>
      <c r="K58" s="28" t="s">
        <v>26</v>
      </c>
      <c r="L58" s="13" t="s">
        <v>20</v>
      </c>
      <c r="M58" s="13" t="s">
        <v>9</v>
      </c>
      <c r="N58" s="13" t="s">
        <v>10</v>
      </c>
      <c r="O58" s="13" t="s">
        <v>23</v>
      </c>
      <c r="P58" s="13" t="s">
        <v>26</v>
      </c>
      <c r="Q58" s="28" t="s">
        <v>20</v>
      </c>
      <c r="R58" s="28" t="s">
        <v>9</v>
      </c>
      <c r="S58" s="28" t="s">
        <v>10</v>
      </c>
      <c r="T58" s="28" t="s">
        <v>23</v>
      </c>
      <c r="U58" s="28" t="s">
        <v>26</v>
      </c>
      <c r="V58" s="13" t="s">
        <v>20</v>
      </c>
      <c r="W58" s="13" t="s">
        <v>9</v>
      </c>
      <c r="X58" s="13" t="s">
        <v>10</v>
      </c>
      <c r="Y58" s="13" t="s">
        <v>23</v>
      </c>
      <c r="Z58" s="13" t="s">
        <v>26</v>
      </c>
      <c r="AA58" s="28" t="s">
        <v>20</v>
      </c>
      <c r="AB58" s="28" t="s">
        <v>9</v>
      </c>
      <c r="AC58" s="28" t="s">
        <v>10</v>
      </c>
      <c r="AD58" s="28" t="s">
        <v>23</v>
      </c>
      <c r="AE58" s="28" t="s">
        <v>26</v>
      </c>
      <c r="AF58" s="13" t="s">
        <v>20</v>
      </c>
      <c r="AG58" s="13" t="s">
        <v>9</v>
      </c>
      <c r="AH58" s="13" t="s">
        <v>10</v>
      </c>
      <c r="AI58" s="13" t="s">
        <v>23</v>
      </c>
      <c r="AJ58" s="13" t="s">
        <v>26</v>
      </c>
    </row>
    <row r="59" spans="2:36" x14ac:dyDescent="0.25">
      <c r="B59" s="79">
        <v>11.563078744278901</v>
      </c>
      <c r="C59" s="79">
        <v>1.5537107420088601</v>
      </c>
      <c r="D59" s="7">
        <v>4.2820012962678497E-2</v>
      </c>
      <c r="E59" s="79">
        <v>1.19182775357466E-5</v>
      </c>
      <c r="F59" s="4"/>
      <c r="G59" s="79">
        <v>2.5097222256129199</v>
      </c>
      <c r="H59" s="79">
        <v>0.34269894250306598</v>
      </c>
      <c r="I59" s="7">
        <v>4.8437525925357001E-2</v>
      </c>
      <c r="J59" s="79">
        <v>1.5877610211363702E-5</v>
      </c>
      <c r="K59" s="14"/>
      <c r="L59" s="79">
        <v>2.50972029449454</v>
      </c>
      <c r="M59" s="79">
        <v>0.34269894250306598</v>
      </c>
      <c r="N59" s="7">
        <v>4.86400388880356E-2</v>
      </c>
      <c r="O59" s="79">
        <v>1.59524085821021E-5</v>
      </c>
      <c r="P59" s="4"/>
      <c r="Q59" s="79">
        <v>2.50972029449454</v>
      </c>
      <c r="R59" s="79">
        <v>0.34269894250306598</v>
      </c>
      <c r="S59" s="7">
        <v>4.8640071294731899E-2</v>
      </c>
      <c r="T59" s="79">
        <v>1.5948927833545401E-5</v>
      </c>
      <c r="U59" s="14"/>
      <c r="V59" s="79">
        <v>2.50972029449454</v>
      </c>
      <c r="W59" s="79">
        <v>0.34269894250306598</v>
      </c>
      <c r="X59" s="7">
        <v>4.86401361081246E-2</v>
      </c>
      <c r="Y59" s="79">
        <v>1.59490944045152E-5</v>
      </c>
      <c r="Z59" s="4"/>
      <c r="AA59" s="79">
        <v>2.50972029449454</v>
      </c>
      <c r="AB59" s="79">
        <v>0.34269894250306598</v>
      </c>
      <c r="AC59" s="7">
        <v>4.8470330548302798E-2</v>
      </c>
      <c r="AD59" s="79">
        <v>1.5911444782182301E-5</v>
      </c>
      <c r="AE59" s="14"/>
      <c r="AF59" s="79">
        <v>2.50972029449454</v>
      </c>
      <c r="AG59" s="79">
        <v>0.34269894250306598</v>
      </c>
      <c r="AH59" s="7">
        <v>4.8540654615266299E-2</v>
      </c>
      <c r="AI59" s="79">
        <v>1.5927187621883099E-5</v>
      </c>
      <c r="AJ59" s="4"/>
    </row>
    <row r="60" spans="2:36" x14ac:dyDescent="0.25">
      <c r="B60" s="79">
        <v>11.563078744278901</v>
      </c>
      <c r="C60" s="79">
        <v>1.5537107420088601</v>
      </c>
      <c r="D60" s="7">
        <v>4.2820012962678497E-2</v>
      </c>
      <c r="E60" s="79">
        <v>1.19071639751262E-5</v>
      </c>
      <c r="F60" s="4"/>
      <c r="G60" s="79">
        <v>2.5097222256129199</v>
      </c>
      <c r="H60" s="79">
        <v>0.34269894250306598</v>
      </c>
      <c r="I60" s="79">
        <v>4.8437525925357001E-2</v>
      </c>
      <c r="J60" s="79">
        <v>1.58777250127856E-5</v>
      </c>
      <c r="K60" s="14"/>
      <c r="L60" s="79">
        <v>2.50972029449454</v>
      </c>
      <c r="M60" s="79">
        <v>0.34269894250306598</v>
      </c>
      <c r="N60" s="79">
        <v>4.8540038888035597E-2</v>
      </c>
      <c r="O60" s="79">
        <v>1.59253615419291E-5</v>
      </c>
      <c r="P60" s="4"/>
      <c r="Q60" s="79">
        <v>2.50972029449454</v>
      </c>
      <c r="R60" s="79">
        <v>0.34269894250306598</v>
      </c>
      <c r="S60" s="7">
        <v>4.8645071294731897E-2</v>
      </c>
      <c r="T60" s="79">
        <v>1.5949326863357099E-5</v>
      </c>
      <c r="U60" s="14"/>
      <c r="V60" s="79">
        <v>2.50972029449454</v>
      </c>
      <c r="W60" s="79">
        <v>0.34269894250306598</v>
      </c>
      <c r="X60" s="7">
        <v>4.8645136108124598E-2</v>
      </c>
      <c r="Y60" s="79">
        <v>1.5949558867195098E-5</v>
      </c>
      <c r="Z60" s="4"/>
      <c r="AA60" s="79">
        <v>2.50972029449454</v>
      </c>
      <c r="AB60" s="79">
        <v>0.34269894250306598</v>
      </c>
      <c r="AC60" s="79">
        <v>4.8640330548302801E-2</v>
      </c>
      <c r="AD60" s="79">
        <v>1.5953247084394701E-5</v>
      </c>
      <c r="AE60" s="14"/>
      <c r="AF60" s="79">
        <v>2.50972029449454</v>
      </c>
      <c r="AG60" s="79">
        <v>0.34269894250306598</v>
      </c>
      <c r="AH60" s="79">
        <v>4.8540654615266299E-2</v>
      </c>
      <c r="AI60" s="79">
        <v>1.5927150379804798E-5</v>
      </c>
      <c r="AJ60" s="4"/>
    </row>
    <row r="61" spans="2:36" x14ac:dyDescent="0.25">
      <c r="B61" s="79">
        <v>11.563078744278901</v>
      </c>
      <c r="C61" s="79">
        <v>1.5537107420088601</v>
      </c>
      <c r="D61" s="7">
        <v>4.2820012962678497E-2</v>
      </c>
      <c r="E61" s="79">
        <v>1.1918273106356E-5</v>
      </c>
      <c r="F61" s="4"/>
      <c r="G61" s="79">
        <v>2.5097222256129199</v>
      </c>
      <c r="H61" s="79">
        <v>0.34269894250306598</v>
      </c>
      <c r="I61" s="79">
        <v>4.8310025925356999E-2</v>
      </c>
      <c r="J61" s="79">
        <v>1.5840196616004301E-5</v>
      </c>
      <c r="K61" s="14"/>
      <c r="L61" s="79">
        <v>2.50972029449454</v>
      </c>
      <c r="M61" s="79">
        <v>0.34269894250306598</v>
      </c>
      <c r="N61" s="79">
        <v>4.8540038888035597E-2</v>
      </c>
      <c r="O61" s="79">
        <v>1.59254393313271E-5</v>
      </c>
      <c r="P61" s="4"/>
      <c r="Q61" s="79">
        <v>2.50972029449454</v>
      </c>
      <c r="R61" s="79">
        <v>0.34269894250306598</v>
      </c>
      <c r="S61" s="79">
        <v>4.8620071294731899E-2</v>
      </c>
      <c r="T61" s="79">
        <v>1.5950266861261101E-5</v>
      </c>
      <c r="U61" s="14"/>
      <c r="V61" s="79">
        <v>2.50972029449454</v>
      </c>
      <c r="W61" s="79">
        <v>0.34269894250306598</v>
      </c>
      <c r="X61" s="7">
        <v>4.86401361081246E-2</v>
      </c>
      <c r="Y61" s="79">
        <v>1.5952691575047001E-5</v>
      </c>
      <c r="Z61" s="4"/>
      <c r="AA61" s="79">
        <v>2.50972029449454</v>
      </c>
      <c r="AB61" s="79">
        <v>0.34269894250306598</v>
      </c>
      <c r="AC61" s="7">
        <v>4.8697830548302803E-2</v>
      </c>
      <c r="AD61" s="79">
        <v>1.5964802523123502E-5</v>
      </c>
      <c r="AE61" s="14"/>
      <c r="AF61" s="79">
        <v>2.50972029449454</v>
      </c>
      <c r="AG61" s="79">
        <v>0.34269894250306598</v>
      </c>
      <c r="AH61" s="7">
        <v>4.8635654615266297E-2</v>
      </c>
      <c r="AI61" s="79">
        <v>1.5953675597827398E-5</v>
      </c>
      <c r="AJ61" s="4"/>
    </row>
    <row r="62" spans="2:36" x14ac:dyDescent="0.25">
      <c r="B62" s="79">
        <v>11.563078744278901</v>
      </c>
      <c r="C62" s="79">
        <v>1.5537107420088601</v>
      </c>
      <c r="D62" s="7">
        <v>4.2820012962678497E-2</v>
      </c>
      <c r="E62" s="79">
        <v>1.19145323536864E-5</v>
      </c>
      <c r="F62" s="4"/>
      <c r="G62" s="79">
        <v>2.5097222256129199</v>
      </c>
      <c r="H62" s="79">
        <v>0.34269894250306598</v>
      </c>
      <c r="I62" s="7">
        <v>4.8307525925357003E-2</v>
      </c>
      <c r="J62" s="79">
        <v>1.5844188372312499E-5</v>
      </c>
      <c r="K62" s="14"/>
      <c r="L62" s="79">
        <v>2.50972029449454</v>
      </c>
      <c r="M62" s="79">
        <v>0.34269894250306598</v>
      </c>
      <c r="N62" s="79">
        <v>4.8540038888035597E-2</v>
      </c>
      <c r="O62" s="79">
        <v>1.5925411572801001E-5</v>
      </c>
      <c r="P62" s="4"/>
      <c r="Q62" s="79">
        <v>2.50972029449454</v>
      </c>
      <c r="R62" s="79">
        <v>0.34269894250306598</v>
      </c>
      <c r="S62" s="79">
        <v>4.8620071294731899E-2</v>
      </c>
      <c r="T62" s="79">
        <v>1.5950302657197699E-5</v>
      </c>
      <c r="U62" s="14"/>
      <c r="V62" s="79">
        <v>2.50972029449454</v>
      </c>
      <c r="W62" s="79">
        <v>0.34269894250306598</v>
      </c>
      <c r="X62" s="79">
        <v>4.8620136108124601E-2</v>
      </c>
      <c r="Y62" s="79">
        <v>1.5950467486814201E-5</v>
      </c>
      <c r="Z62" s="4"/>
      <c r="AA62" s="79">
        <v>2.50972029449454</v>
      </c>
      <c r="AB62" s="79">
        <v>0.34269894250306598</v>
      </c>
      <c r="AC62" s="7">
        <v>4.8540330548302799E-2</v>
      </c>
      <c r="AD62" s="79">
        <v>1.59261712449313E-5</v>
      </c>
      <c r="AE62" s="14"/>
      <c r="AF62" s="79">
        <v>2.50972029449454</v>
      </c>
      <c r="AG62" s="79">
        <v>0.34269894250306598</v>
      </c>
      <c r="AH62" s="7">
        <v>4.86456546152663E-2</v>
      </c>
      <c r="AI62" s="79">
        <v>1.5951066298491599E-5</v>
      </c>
      <c r="AJ62" s="4"/>
    </row>
    <row r="63" spans="2:36" x14ac:dyDescent="0.25">
      <c r="B63" s="79">
        <v>11.563078744278901</v>
      </c>
      <c r="C63" s="79">
        <v>1.5537107420088601</v>
      </c>
      <c r="D63" s="7">
        <v>4.2820012962678497E-2</v>
      </c>
      <c r="E63" s="79">
        <v>1.19258572042012E-5</v>
      </c>
      <c r="F63" s="4"/>
      <c r="G63" s="79">
        <v>2.5097222256129199</v>
      </c>
      <c r="H63" s="79">
        <v>0.34269894250306598</v>
      </c>
      <c r="I63" s="7">
        <v>4.8465025925357001E-2</v>
      </c>
      <c r="J63" s="79">
        <v>1.5882984351921302E-5</v>
      </c>
      <c r="K63" s="14"/>
      <c r="L63" s="79">
        <v>2.50972029449454</v>
      </c>
      <c r="M63" s="79">
        <v>0.34269894250306598</v>
      </c>
      <c r="N63" s="7">
        <v>4.8485038888035598E-2</v>
      </c>
      <c r="O63" s="79">
        <v>1.5909757669743199E-5</v>
      </c>
      <c r="P63" s="4"/>
      <c r="Q63" s="79">
        <v>2.50972029449454</v>
      </c>
      <c r="R63" s="79">
        <v>0.34269894250306598</v>
      </c>
      <c r="S63" s="79">
        <v>4.8697571294731901E-2</v>
      </c>
      <c r="T63" s="79">
        <v>1.5964076352979001E-5</v>
      </c>
      <c r="U63" s="14"/>
      <c r="V63" s="79">
        <v>2.50972029449454</v>
      </c>
      <c r="W63" s="79">
        <v>0.34269894250306598</v>
      </c>
      <c r="X63" s="7">
        <v>4.8620136108124601E-2</v>
      </c>
      <c r="Y63" s="79">
        <v>1.5950411282353699E-5</v>
      </c>
      <c r="Z63" s="4"/>
      <c r="AA63" s="79">
        <v>2.50972029449454</v>
      </c>
      <c r="AB63" s="79">
        <v>0.34269894250306598</v>
      </c>
      <c r="AC63" s="7">
        <v>4.8540330548302799E-2</v>
      </c>
      <c r="AD63" s="79">
        <v>1.5926200311773001E-5</v>
      </c>
      <c r="AE63" s="14"/>
      <c r="AF63" s="79">
        <v>2.50972029449454</v>
      </c>
      <c r="AG63" s="79">
        <v>0.34269894250306598</v>
      </c>
      <c r="AH63" s="7">
        <v>4.8460654615266302E-2</v>
      </c>
      <c r="AI63" s="79">
        <v>1.5912440083663101E-5</v>
      </c>
      <c r="AJ63" s="4"/>
    </row>
    <row r="65" spans="2:36" x14ac:dyDescent="0.25">
      <c r="B65" s="61" t="s">
        <v>48</v>
      </c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</row>
    <row r="66" spans="2:36" x14ac:dyDescent="0.25">
      <c r="B66" s="62" t="s">
        <v>19</v>
      </c>
      <c r="C66" s="63"/>
      <c r="D66" s="63"/>
      <c r="E66" s="63"/>
      <c r="F66" s="64"/>
      <c r="G66" s="65" t="s">
        <v>21</v>
      </c>
      <c r="H66" s="66"/>
      <c r="I66" s="66"/>
      <c r="J66" s="66"/>
      <c r="K66" s="67"/>
      <c r="L66" s="68" t="s">
        <v>22</v>
      </c>
      <c r="M66" s="69"/>
      <c r="N66" s="69"/>
      <c r="O66" s="69"/>
      <c r="P66" s="70"/>
      <c r="Q66" s="71" t="s">
        <v>16</v>
      </c>
      <c r="R66" s="72"/>
      <c r="S66" s="72"/>
      <c r="T66" s="72"/>
      <c r="U66" s="73"/>
      <c r="V66" s="68" t="s">
        <v>37</v>
      </c>
      <c r="W66" s="69"/>
      <c r="X66" s="69"/>
      <c r="Y66" s="69"/>
      <c r="Z66" s="70"/>
      <c r="AA66" s="71" t="s">
        <v>42</v>
      </c>
      <c r="AB66" s="72"/>
      <c r="AC66" s="72"/>
      <c r="AD66" s="72"/>
      <c r="AE66" s="73"/>
      <c r="AF66" s="68" t="s">
        <v>31</v>
      </c>
      <c r="AG66" s="69"/>
      <c r="AH66" s="69"/>
      <c r="AI66" s="69"/>
      <c r="AJ66" s="70"/>
    </row>
    <row r="67" spans="2:36" ht="60" x14ac:dyDescent="0.25">
      <c r="B67" s="13" t="s">
        <v>20</v>
      </c>
      <c r="C67" s="13" t="s">
        <v>9</v>
      </c>
      <c r="D67" s="13" t="s">
        <v>10</v>
      </c>
      <c r="E67" s="13" t="s">
        <v>23</v>
      </c>
      <c r="F67" s="13" t="s">
        <v>26</v>
      </c>
      <c r="G67" s="28" t="s">
        <v>20</v>
      </c>
      <c r="H67" s="28" t="s">
        <v>9</v>
      </c>
      <c r="I67" s="28" t="s">
        <v>10</v>
      </c>
      <c r="J67" s="28" t="s">
        <v>23</v>
      </c>
      <c r="K67" s="28" t="s">
        <v>26</v>
      </c>
      <c r="L67" s="13" t="s">
        <v>20</v>
      </c>
      <c r="M67" s="13" t="s">
        <v>9</v>
      </c>
      <c r="N67" s="13" t="s">
        <v>10</v>
      </c>
      <c r="O67" s="13" t="s">
        <v>23</v>
      </c>
      <c r="P67" s="13" t="s">
        <v>26</v>
      </c>
      <c r="Q67" s="28" t="s">
        <v>20</v>
      </c>
      <c r="R67" s="28" t="s">
        <v>9</v>
      </c>
      <c r="S67" s="28" t="s">
        <v>10</v>
      </c>
      <c r="T67" s="28" t="s">
        <v>23</v>
      </c>
      <c r="U67" s="28" t="s">
        <v>26</v>
      </c>
      <c r="V67" s="13" t="s">
        <v>20</v>
      </c>
      <c r="W67" s="13" t="s">
        <v>9</v>
      </c>
      <c r="X67" s="13" t="s">
        <v>10</v>
      </c>
      <c r="Y67" s="13" t="s">
        <v>23</v>
      </c>
      <c r="Z67" s="13" t="s">
        <v>26</v>
      </c>
      <c r="AA67" s="28" t="s">
        <v>20</v>
      </c>
      <c r="AB67" s="28" t="s">
        <v>9</v>
      </c>
      <c r="AC67" s="28" t="s">
        <v>10</v>
      </c>
      <c r="AD67" s="28" t="s">
        <v>23</v>
      </c>
      <c r="AE67" s="28" t="s">
        <v>26</v>
      </c>
      <c r="AF67" s="13" t="s">
        <v>20</v>
      </c>
      <c r="AG67" s="13" t="s">
        <v>9</v>
      </c>
      <c r="AH67" s="13" t="s">
        <v>10</v>
      </c>
      <c r="AI67" s="13" t="s">
        <v>23</v>
      </c>
      <c r="AJ67" s="13" t="s">
        <v>26</v>
      </c>
    </row>
    <row r="68" spans="2:36" x14ac:dyDescent="0.25">
      <c r="B68" s="77">
        <v>51.297780068129804</v>
      </c>
      <c r="C68" s="77">
        <v>7.1026749651135699</v>
      </c>
      <c r="D68" s="77">
        <v>6.0375388822761597E-2</v>
      </c>
      <c r="E68" s="77">
        <v>1.21795357927367E-5</v>
      </c>
      <c r="F68" s="4"/>
      <c r="G68" s="78">
        <v>4.3378528747230396</v>
      </c>
      <c r="H68" s="78">
        <v>1.6657901569973701</v>
      </c>
      <c r="I68" s="14">
        <v>8.8894566468285294E-2</v>
      </c>
      <c r="J68" s="78">
        <v>2.1858020061649099E-5</v>
      </c>
      <c r="K68" s="14"/>
      <c r="L68" s="77">
        <v>4.92712452232242</v>
      </c>
      <c r="M68" s="77">
        <v>1.6490131700739801</v>
      </c>
      <c r="N68" s="4">
        <v>9.0246844113808899E-2</v>
      </c>
      <c r="O68" s="77">
        <v>2.2066254002553801E-5</v>
      </c>
      <c r="P68" s="4"/>
      <c r="Q68" s="78">
        <v>4.7476203199665497</v>
      </c>
      <c r="R68" s="78">
        <v>1.6329311873924801</v>
      </c>
      <c r="S68" s="14">
        <v>9.0704201455234404E-2</v>
      </c>
      <c r="T68" s="78">
        <v>2.2247707938992702E-5</v>
      </c>
      <c r="U68" s="14"/>
      <c r="V68" s="79">
        <v>4.7476203199665497</v>
      </c>
      <c r="W68" s="79">
        <v>1.6329311873924801</v>
      </c>
      <c r="X68" s="7">
        <v>9.0704201455234404E-2</v>
      </c>
      <c r="Y68" s="79">
        <v>2.2247707938992702E-5</v>
      </c>
      <c r="Z68" s="4"/>
      <c r="AA68" s="78">
        <v>3.91350613092458</v>
      </c>
      <c r="AB68" s="78">
        <v>1.66374915085244</v>
      </c>
      <c r="AC68" s="14">
        <v>9.0497441138086401E-2</v>
      </c>
      <c r="AD68" s="78">
        <v>2.2383438035344198E-5</v>
      </c>
      <c r="AE68" s="14"/>
      <c r="AF68" s="77">
        <v>4.9457165366791198</v>
      </c>
      <c r="AG68" s="77">
        <v>1.6328680974354299</v>
      </c>
      <c r="AH68" s="4">
        <v>9.0792357276173102E-2</v>
      </c>
      <c r="AI68" s="77">
        <v>2.29261907286463E-5</v>
      </c>
      <c r="AJ68" s="4"/>
    </row>
    <row r="69" spans="2:36" x14ac:dyDescent="0.25">
      <c r="B69" s="77">
        <v>50.220883156003502</v>
      </c>
      <c r="C69" s="4">
        <v>6.7590557221512304</v>
      </c>
      <c r="D69" s="77">
        <v>6.0375388822761597E-2</v>
      </c>
      <c r="E69" s="77">
        <v>1.21819089549326E-5</v>
      </c>
      <c r="F69" s="4"/>
      <c r="G69" s="78">
        <v>5.3857823052489202</v>
      </c>
      <c r="H69" s="78">
        <v>1.6346057947817401</v>
      </c>
      <c r="I69" s="14">
        <v>8.9617041468285003E-2</v>
      </c>
      <c r="J69" s="78">
        <v>2.2060967661575101E-5</v>
      </c>
      <c r="K69" s="14"/>
      <c r="L69" s="77">
        <v>5.2621369270774903</v>
      </c>
      <c r="M69" s="77">
        <v>1.61792354323099</v>
      </c>
      <c r="N69" s="4">
        <v>9.0296344113808796E-2</v>
      </c>
      <c r="O69" s="77">
        <v>2.2142772748790801E-5</v>
      </c>
      <c r="P69" s="4"/>
      <c r="Q69" s="78">
        <v>5.6405844131288401</v>
      </c>
      <c r="R69" s="78">
        <v>1.6669592190165601</v>
      </c>
      <c r="S69" s="14">
        <v>9.0875176455234505E-2</v>
      </c>
      <c r="T69" s="78">
        <v>2.2301546401756701E-5</v>
      </c>
      <c r="U69" s="14"/>
      <c r="V69" s="79">
        <v>5.6405844131288401</v>
      </c>
      <c r="W69" s="79">
        <v>1.6669592190165601</v>
      </c>
      <c r="X69" s="7">
        <v>9.0875176455234505E-2</v>
      </c>
      <c r="Y69" s="79">
        <v>2.2301546401756701E-5</v>
      </c>
      <c r="Z69" s="4"/>
      <c r="AA69" s="78">
        <v>3.3837494174520901</v>
      </c>
      <c r="AB69" s="78">
        <v>1.6651393282772999</v>
      </c>
      <c r="AC69" s="14">
        <v>9.0663691138086394E-2</v>
      </c>
      <c r="AD69" s="78">
        <v>2.2408255813409799E-5</v>
      </c>
      <c r="AE69" s="14"/>
      <c r="AF69" s="77">
        <v>4.7831371425731799</v>
      </c>
      <c r="AG69" s="77">
        <v>1.6329311875188599</v>
      </c>
      <c r="AH69" s="4">
        <v>9.0785707276172897E-2</v>
      </c>
      <c r="AI69" s="77">
        <v>2.29190561949153E-5</v>
      </c>
      <c r="AJ69" s="4"/>
    </row>
    <row r="70" spans="2:36" x14ac:dyDescent="0.25">
      <c r="B70" s="77">
        <v>51.297780068129804</v>
      </c>
      <c r="C70" s="77">
        <v>7.1026749651135699</v>
      </c>
      <c r="D70" s="77">
        <v>6.0375388822761597E-2</v>
      </c>
      <c r="E70" s="77">
        <v>1.21828816096977E-5</v>
      </c>
      <c r="F70" s="4"/>
      <c r="G70" s="78">
        <v>5.2254896658482899</v>
      </c>
      <c r="H70" s="78">
        <v>1.61729163003299</v>
      </c>
      <c r="I70" s="14">
        <v>8.9100216468285198E-2</v>
      </c>
      <c r="J70" s="78">
        <v>2.1998618607487899E-5</v>
      </c>
      <c r="K70" s="14"/>
      <c r="L70" s="77">
        <v>2.40075095132311</v>
      </c>
      <c r="M70" s="77">
        <v>0.97741152796182695</v>
      </c>
      <c r="N70" s="4">
        <v>8.9778694113808094E-2</v>
      </c>
      <c r="O70" s="77">
        <v>2.1892300447460601E-5</v>
      </c>
      <c r="P70" s="4"/>
      <c r="Q70" s="78">
        <v>3.1094572575611399</v>
      </c>
      <c r="R70" s="78">
        <v>1.65690884522196</v>
      </c>
      <c r="S70" s="14">
        <v>9.0380526455234395E-2</v>
      </c>
      <c r="T70" s="78">
        <v>2.20945341686212E-5</v>
      </c>
      <c r="U70" s="14"/>
      <c r="V70" s="79">
        <v>3.1094572575611399</v>
      </c>
      <c r="W70" s="79">
        <v>1.65690884522196</v>
      </c>
      <c r="X70" s="7">
        <v>9.0380526455234395E-2</v>
      </c>
      <c r="Y70" s="79">
        <v>2.20945341686212E-5</v>
      </c>
      <c r="Z70" s="4"/>
      <c r="AA70" s="78">
        <v>5.24758448094597</v>
      </c>
      <c r="AB70" s="78">
        <v>1.6179235431836001</v>
      </c>
      <c r="AC70" s="14">
        <v>9.0917416138086696E-2</v>
      </c>
      <c r="AD70" s="78">
        <v>2.25602118214387E-5</v>
      </c>
      <c r="AE70" s="14"/>
      <c r="AF70" s="77">
        <v>4.3494570380008097</v>
      </c>
      <c r="AG70" s="77">
        <v>1.6481601481907</v>
      </c>
      <c r="AH70" s="4">
        <v>9.0908957276173E-2</v>
      </c>
      <c r="AI70" s="77">
        <v>2.2891704809417001E-5</v>
      </c>
      <c r="AJ70" s="4"/>
    </row>
    <row r="71" spans="2:36" x14ac:dyDescent="0.25">
      <c r="B71" s="77">
        <v>51.382656477043803</v>
      </c>
      <c r="C71" s="77">
        <v>7.1176273420095102</v>
      </c>
      <c r="D71" s="77">
        <v>6.0375388822761597E-2</v>
      </c>
      <c r="E71" s="77">
        <v>1.21956751351754E-5</v>
      </c>
      <c r="F71" s="4"/>
      <c r="G71" s="78">
        <v>5.5888456795652202</v>
      </c>
      <c r="H71" s="78">
        <v>1.66707769998065</v>
      </c>
      <c r="I71" s="14">
        <v>8.9733141468284996E-2</v>
      </c>
      <c r="J71" s="78">
        <v>2.212680371797E-5</v>
      </c>
      <c r="K71" s="14"/>
      <c r="L71" s="77">
        <v>5.2635577601148302</v>
      </c>
      <c r="M71" s="77">
        <v>1.6179235431836001</v>
      </c>
      <c r="N71" s="4">
        <v>9.0283044113808705E-2</v>
      </c>
      <c r="O71" s="77">
        <v>2.21311706176157E-5</v>
      </c>
      <c r="P71" s="4"/>
      <c r="Q71" s="14">
        <v>4.8910897027954903</v>
      </c>
      <c r="R71" s="78">
        <v>1.6328680944023199</v>
      </c>
      <c r="S71" s="14">
        <v>9.0571201455234396E-2</v>
      </c>
      <c r="T71" s="78">
        <v>2.2247074798367399E-5</v>
      </c>
      <c r="U71" s="14"/>
      <c r="V71" s="7">
        <v>4.8910897027954903</v>
      </c>
      <c r="W71" s="79">
        <v>1.6328680944023199</v>
      </c>
      <c r="X71" s="7">
        <v>9.0571201455234396E-2</v>
      </c>
      <c r="Y71" s="79">
        <v>2.2247074798367399E-5</v>
      </c>
      <c r="Z71" s="4"/>
      <c r="AA71" s="78">
        <v>4.7831371425731799</v>
      </c>
      <c r="AB71" s="78">
        <v>1.6329311875188599</v>
      </c>
      <c r="AC71" s="14">
        <v>9.0635016138086499E-2</v>
      </c>
      <c r="AD71" s="78">
        <v>2.2493243976709301E-5</v>
      </c>
      <c r="AE71" s="14"/>
      <c r="AF71" s="77">
        <v>3.4551811305431799</v>
      </c>
      <c r="AG71" s="77">
        <v>1.66513932916511</v>
      </c>
      <c r="AH71" s="4">
        <v>9.0747882276173003E-2</v>
      </c>
      <c r="AI71" s="77">
        <v>2.2822261086631901E-5</v>
      </c>
      <c r="AJ71" s="4"/>
    </row>
    <row r="72" spans="2:36" x14ac:dyDescent="0.25">
      <c r="B72" s="77">
        <v>50.220883156003502</v>
      </c>
      <c r="C72" s="4">
        <v>6.7590557221512304</v>
      </c>
      <c r="D72" s="77">
        <v>6.0375388822761597E-2</v>
      </c>
      <c r="E72" s="77">
        <v>1.2166561222718301E-5</v>
      </c>
      <c r="F72" s="4"/>
      <c r="G72" s="78">
        <v>5.2254328114683499</v>
      </c>
      <c r="H72" s="78">
        <v>1.63135145365395</v>
      </c>
      <c r="I72" s="14">
        <v>8.9065391468284905E-2</v>
      </c>
      <c r="J72" s="78">
        <v>2.1991686543184201E-5</v>
      </c>
      <c r="K72" s="14"/>
      <c r="L72" s="77">
        <v>4.9783609501863699</v>
      </c>
      <c r="M72" s="77">
        <v>1.63286812170031</v>
      </c>
      <c r="N72" s="4">
        <v>9.0140294113808805E-2</v>
      </c>
      <c r="O72" s="77">
        <v>2.2077605975016201E-5</v>
      </c>
      <c r="P72" s="4"/>
      <c r="Q72" s="78">
        <v>4.6656194485081697</v>
      </c>
      <c r="R72" s="78">
        <v>1.6500084112681199</v>
      </c>
      <c r="S72" s="14">
        <v>9.0737601455234296E-2</v>
      </c>
      <c r="T72" s="78">
        <v>2.2216937792742599E-5</v>
      </c>
      <c r="U72" s="14"/>
      <c r="V72" s="79">
        <v>4.6656194485081697</v>
      </c>
      <c r="W72" s="79">
        <v>1.6500084112681199</v>
      </c>
      <c r="X72" s="7">
        <v>9.0737601455234296E-2</v>
      </c>
      <c r="Y72" s="79">
        <v>2.2216937792742599E-5</v>
      </c>
      <c r="Z72" s="4"/>
      <c r="AA72" s="78">
        <v>4.2792650391364502</v>
      </c>
      <c r="AB72" s="78">
        <v>1.6481601481907</v>
      </c>
      <c r="AC72" s="14">
        <v>9.0758266138086199E-2</v>
      </c>
      <c r="AD72" s="78">
        <v>2.2454133589736301E-5</v>
      </c>
      <c r="AE72" s="14"/>
      <c r="AF72" s="77">
        <v>4.7474751645916102</v>
      </c>
      <c r="AG72" s="77">
        <v>1.6329311873924801</v>
      </c>
      <c r="AH72" s="4">
        <v>9.0812307276172996E-2</v>
      </c>
      <c r="AI72" s="77">
        <v>2.2930210572499002E-5</v>
      </c>
      <c r="AJ72" s="4"/>
    </row>
  </sheetData>
  <mergeCells count="64">
    <mergeCell ref="B65:AJ65"/>
    <mergeCell ref="B66:F66"/>
    <mergeCell ref="G66:K66"/>
    <mergeCell ref="L66:P66"/>
    <mergeCell ref="Q66:U66"/>
    <mergeCell ref="V66:Z66"/>
    <mergeCell ref="AA66:AE66"/>
    <mergeCell ref="AF66:AJ66"/>
    <mergeCell ref="B56:AJ56"/>
    <mergeCell ref="B57:F57"/>
    <mergeCell ref="G57:K57"/>
    <mergeCell ref="L57:P57"/>
    <mergeCell ref="Q57:U57"/>
    <mergeCell ref="V57:Z57"/>
    <mergeCell ref="AA57:AE57"/>
    <mergeCell ref="AF57:AJ57"/>
    <mergeCell ref="B47:AJ47"/>
    <mergeCell ref="B48:F48"/>
    <mergeCell ref="G48:K48"/>
    <mergeCell ref="L48:P48"/>
    <mergeCell ref="Q48:U48"/>
    <mergeCell ref="V48:Z48"/>
    <mergeCell ref="AA48:AE48"/>
    <mergeCell ref="AF48:AJ48"/>
    <mergeCell ref="B38:AJ38"/>
    <mergeCell ref="B39:F39"/>
    <mergeCell ref="G39:K39"/>
    <mergeCell ref="L39:P39"/>
    <mergeCell ref="Q39:U39"/>
    <mergeCell ref="V39:Z39"/>
    <mergeCell ref="AA39:AE39"/>
    <mergeCell ref="AF39:AJ39"/>
    <mergeCell ref="B28:AJ28"/>
    <mergeCell ref="B29:F29"/>
    <mergeCell ref="G29:K29"/>
    <mergeCell ref="L29:P29"/>
    <mergeCell ref="Q29:U29"/>
    <mergeCell ref="V29:Z29"/>
    <mergeCell ref="AA29:AE29"/>
    <mergeCell ref="AF29:AJ29"/>
    <mergeCell ref="V11:Z11"/>
    <mergeCell ref="AA11:AE11"/>
    <mergeCell ref="AF11:AJ11"/>
    <mergeCell ref="B19:AJ19"/>
    <mergeCell ref="B20:F20"/>
    <mergeCell ref="G20:K20"/>
    <mergeCell ref="L20:P20"/>
    <mergeCell ref="Q20:U20"/>
    <mergeCell ref="V20:Z20"/>
    <mergeCell ref="AA20:AE20"/>
    <mergeCell ref="AF20:AJ20"/>
    <mergeCell ref="Q11:U11"/>
    <mergeCell ref="B11:F11"/>
    <mergeCell ref="G11:K11"/>
    <mergeCell ref="L11:P11"/>
    <mergeCell ref="AF2:AJ2"/>
    <mergeCell ref="V2:Z2"/>
    <mergeCell ref="AA2:AE2"/>
    <mergeCell ref="B1:AJ1"/>
    <mergeCell ref="B10:AJ10"/>
    <mergeCell ref="Q2:U2"/>
    <mergeCell ref="B2:F2"/>
    <mergeCell ref="L2:P2"/>
    <mergeCell ref="G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127C-15E6-41A0-94B0-FA50F057125C}">
  <dimension ref="A1:T60"/>
  <sheetViews>
    <sheetView topLeftCell="A22" zoomScaleNormal="100" workbookViewId="0">
      <selection activeCell="L40" sqref="L40"/>
    </sheetView>
  </sheetViews>
  <sheetFormatPr defaultColWidth="8.85546875" defaultRowHeight="15" x14ac:dyDescent="0.25"/>
  <cols>
    <col min="1" max="1" width="11" bestFit="1" customWidth="1"/>
    <col min="2" max="2" width="11" customWidth="1"/>
    <col min="3" max="3" width="9.28515625" bestFit="1" customWidth="1"/>
    <col min="4" max="4" width="12" bestFit="1" customWidth="1"/>
    <col min="5" max="5" width="12" customWidth="1"/>
    <col min="6" max="6" width="13.28515625" customWidth="1"/>
    <col min="7" max="7" width="10.7109375" bestFit="1" customWidth="1"/>
    <col min="8" max="8" width="12" bestFit="1" customWidth="1"/>
    <col min="9" max="9" width="8.42578125" bestFit="1" customWidth="1"/>
    <col min="10" max="10" width="11.42578125" bestFit="1" customWidth="1"/>
    <col min="11" max="11" width="11.42578125" customWidth="1"/>
    <col min="12" max="12" width="11.85546875" style="7" bestFit="1" customWidth="1"/>
    <col min="13" max="13" width="14" style="7" bestFit="1" customWidth="1"/>
    <col min="14" max="14" width="17.85546875" style="7" bestFit="1" customWidth="1"/>
    <col min="15" max="15" width="14" style="20" bestFit="1" customWidth="1"/>
    <col min="16" max="16" width="8.42578125" style="7" bestFit="1" customWidth="1"/>
  </cols>
  <sheetData>
    <row r="1" spans="1:20" s="22" customFormat="1" ht="60.75" customHeight="1" x14ac:dyDescent="0.25">
      <c r="A1" s="39" t="s">
        <v>43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s="1" customFormat="1" x14ac:dyDescent="0.25">
      <c r="L2" s="12"/>
      <c r="M2" s="12"/>
      <c r="N2" s="12"/>
      <c r="O2" s="15"/>
      <c r="P2" s="12"/>
    </row>
    <row r="3" spans="1:20" ht="45" x14ac:dyDescent="0.25">
      <c r="A3" s="2" t="s">
        <v>6</v>
      </c>
      <c r="B3" s="2" t="s">
        <v>11</v>
      </c>
      <c r="C3" s="2" t="s">
        <v>4</v>
      </c>
      <c r="D3" s="2" t="s">
        <v>2</v>
      </c>
      <c r="E3" s="2" t="s">
        <v>3</v>
      </c>
      <c r="F3" s="2" t="s">
        <v>29</v>
      </c>
      <c r="G3" s="2" t="s">
        <v>0</v>
      </c>
      <c r="H3" s="2" t="s">
        <v>1</v>
      </c>
      <c r="I3" s="2" t="s">
        <v>7</v>
      </c>
      <c r="J3" s="2" t="s">
        <v>8</v>
      </c>
      <c r="K3" s="2"/>
      <c r="L3" s="13" t="s">
        <v>17</v>
      </c>
      <c r="M3" s="13" t="s">
        <v>18</v>
      </c>
      <c r="N3" s="13" t="s">
        <v>10</v>
      </c>
      <c r="O3" s="16" t="s">
        <v>23</v>
      </c>
      <c r="P3" s="13" t="s">
        <v>26</v>
      </c>
    </row>
    <row r="4" spans="1:20" x14ac:dyDescent="0.25">
      <c r="A4" s="41" t="s">
        <v>12</v>
      </c>
      <c r="B4" s="11">
        <v>1</v>
      </c>
      <c r="C4" s="45" t="s">
        <v>5</v>
      </c>
      <c r="D4" s="45">
        <v>66</v>
      </c>
      <c r="E4" s="45">
        <v>66</v>
      </c>
      <c r="F4" s="46">
        <v>13000</v>
      </c>
      <c r="G4" s="45">
        <v>1</v>
      </c>
      <c r="H4" s="45">
        <v>1</v>
      </c>
      <c r="I4" s="45">
        <v>66</v>
      </c>
      <c r="J4" s="45">
        <v>66</v>
      </c>
      <c r="K4" s="31"/>
      <c r="L4" s="5">
        <f>AVERAGE(DataExp1.1!B4:B8)</f>
        <v>47.672520781360575</v>
      </c>
      <c r="M4" s="5">
        <f>AVERAGE(DataExp1.1!C4:C8)</f>
        <v>6.570467981210955</v>
      </c>
      <c r="N4" s="5">
        <f>AVERAGE(DataExp1.1!D4:D8)</f>
        <v>280.77705301382201</v>
      </c>
      <c r="O4" s="17">
        <f>AVERAGE(DataExp1.1!E4:E8)</f>
        <v>1.2425394490002499E-3</v>
      </c>
      <c r="P4" s="5">
        <f>AVERAGE(DataExp1.1!F4:F8)</f>
        <v>2.15042877197265</v>
      </c>
    </row>
    <row r="5" spans="1:20" x14ac:dyDescent="0.25">
      <c r="A5" s="42"/>
      <c r="B5" s="6">
        <v>3</v>
      </c>
      <c r="C5" s="43"/>
      <c r="D5" s="43"/>
      <c r="E5" s="43"/>
      <c r="F5" s="47"/>
      <c r="G5" s="43"/>
      <c r="H5" s="43"/>
      <c r="I5" s="43"/>
      <c r="J5" s="43"/>
      <c r="K5" s="30"/>
      <c r="L5" s="5">
        <f>AVERAGE(DataExp1.1!G4:G8)</f>
        <v>21.856551751247018</v>
      </c>
      <c r="M5" s="5">
        <f>AVERAGE(DataExp1.1!H4:H8)</f>
        <v>3.2246456912534418</v>
      </c>
      <c r="N5" s="5">
        <f>AVERAGE(DataExp1.1!I4:I8)</f>
        <v>391.12383904146679</v>
      </c>
      <c r="O5" s="17">
        <f>AVERAGE(DataExp1.1!J4:J8)</f>
        <v>1.8339326393051179E-3</v>
      </c>
      <c r="P5" s="5">
        <f>AVERAGE(DataExp1.1!K4:K8)</f>
        <v>2.1786093235015822</v>
      </c>
    </row>
    <row r="6" spans="1:20" x14ac:dyDescent="0.25">
      <c r="A6" s="42"/>
      <c r="B6" s="6">
        <v>5</v>
      </c>
      <c r="C6" s="43"/>
      <c r="D6" s="43"/>
      <c r="E6" s="43"/>
      <c r="F6" s="47"/>
      <c r="G6" s="43"/>
      <c r="H6" s="43"/>
      <c r="I6" s="43"/>
      <c r="J6" s="43"/>
      <c r="K6" s="30"/>
      <c r="L6" s="5">
        <f>AVERAGE(DataExp1.1!L4:L8)</f>
        <v>11.98984802681626</v>
      </c>
      <c r="M6" s="5">
        <f>AVERAGE(DataExp1.1!M4:M8)</f>
        <v>2.0149346560221604</v>
      </c>
      <c r="N6" s="5">
        <f>AVERAGE(DataExp1.1!N4:N8)</f>
        <v>429.47662506911354</v>
      </c>
      <c r="O6" s="17">
        <f>AVERAGE(DataExp1.1!O4:O8)</f>
        <v>2.00795051304717E-3</v>
      </c>
      <c r="P6" s="5">
        <f>AVERAGE(DataExp1.1!P4:P8)</f>
        <v>2.3205418109893743</v>
      </c>
    </row>
    <row r="7" spans="1:20" x14ac:dyDescent="0.25">
      <c r="A7" s="42"/>
      <c r="B7" s="6">
        <v>10</v>
      </c>
      <c r="C7" s="43"/>
      <c r="D7" s="43"/>
      <c r="E7" s="43"/>
      <c r="F7" s="47"/>
      <c r="G7" s="43"/>
      <c r="H7" s="43"/>
      <c r="I7" s="43"/>
      <c r="J7" s="43"/>
      <c r="K7" s="30"/>
      <c r="L7" s="5">
        <f>AVERAGE(DataExp1.1!Q4:Q8)</f>
        <v>1.5875226457050842</v>
      </c>
      <c r="M7" s="5">
        <f>AVERAGE(DataExp1.1!R4:R8)</f>
        <v>0.4703038834919574</v>
      </c>
      <c r="N7" s="5">
        <f>AVERAGE(DataExp1.1!S4:S8)</f>
        <v>448.50177013822696</v>
      </c>
      <c r="O7" s="17">
        <f>AVERAGE(DataExp1.1!T4:T8)</f>
        <v>2.0519250989654981E-3</v>
      </c>
      <c r="P7" s="5">
        <f>AVERAGE(DataExp1.1!U4:U8)</f>
        <v>2.2747531890869097</v>
      </c>
    </row>
    <row r="8" spans="1:20" x14ac:dyDescent="0.25">
      <c r="A8" s="42"/>
      <c r="B8" s="6">
        <v>20</v>
      </c>
      <c r="C8" s="43"/>
      <c r="D8" s="43"/>
      <c r="E8" s="43"/>
      <c r="F8" s="47"/>
      <c r="G8" s="43"/>
      <c r="H8" s="43"/>
      <c r="I8" s="43"/>
      <c r="J8" s="43"/>
      <c r="K8" s="30"/>
      <c r="L8" s="5">
        <f>AVERAGE(DataExp1.1!V4:V8)</f>
        <v>1.1816151609203558</v>
      </c>
      <c r="M8" s="5">
        <f>AVERAGE(DataExp1.1!W4:W8)</f>
        <v>0.36451866478278661</v>
      </c>
      <c r="N8" s="5">
        <f>AVERAGE(DataExp1.1!X4:X8)</f>
        <v>457.11036027645423</v>
      </c>
      <c r="O8" s="17">
        <f>AVERAGE(DataExp1.1!Y4:Y8)</f>
        <v>2.0634121491367183E-3</v>
      </c>
      <c r="P8" s="5">
        <f>AVERAGE(DataExp1.1!Z4:Z8)</f>
        <v>2.5595404148101739</v>
      </c>
    </row>
    <row r="9" spans="1:20" x14ac:dyDescent="0.25">
      <c r="A9" s="42"/>
      <c r="B9" s="6">
        <v>50</v>
      </c>
      <c r="C9" s="43"/>
      <c r="D9" s="43"/>
      <c r="E9" s="43"/>
      <c r="F9" s="47"/>
      <c r="G9" s="43"/>
      <c r="H9" s="43"/>
      <c r="I9" s="43"/>
      <c r="J9" s="43"/>
      <c r="K9" s="30"/>
      <c r="L9" s="5">
        <f>AVERAGE(DataExp1.1!AA4:AA8)</f>
        <v>1.6919275836893182</v>
      </c>
      <c r="M9" s="5">
        <f>AVERAGE(DataExp1.1!AB4:AB8)</f>
        <v>0.47056375966812097</v>
      </c>
      <c r="N9" s="5">
        <f>AVERAGE(DataExp1.1!AC4:AC8)</f>
        <v>452.94012069113739</v>
      </c>
      <c r="O9" s="17">
        <f>AVERAGE(DataExp1.1!AD4:AD8)</f>
        <v>2.0812879931394559E-3</v>
      </c>
      <c r="P9" s="5">
        <f>AVERAGE(DataExp1.1!AE4:AE8)</f>
        <v>3.0158440589904738</v>
      </c>
    </row>
    <row r="10" spans="1:20" x14ac:dyDescent="0.25">
      <c r="A10" s="42"/>
      <c r="B10" s="6">
        <v>100</v>
      </c>
      <c r="C10" s="43"/>
      <c r="D10" s="43"/>
      <c r="E10" s="43"/>
      <c r="F10" s="47"/>
      <c r="G10" s="43"/>
      <c r="H10" s="43"/>
      <c r="I10" s="43"/>
      <c r="J10" s="43"/>
      <c r="K10" s="30"/>
      <c r="L10" s="5">
        <f>AVERAGE(DataExp1.1!AF4:AF8)</f>
        <v>1.1607429307212318</v>
      </c>
      <c r="M10" s="5">
        <f>AVERAGE(DataExp1.1!AG4:AG8)</f>
        <v>0.36810600706187663</v>
      </c>
      <c r="N10" s="5">
        <f>AVERAGE(DataExp1.1!AH4:AH8)</f>
        <v>456.02661138227523</v>
      </c>
      <c r="O10" s="17">
        <f>AVERAGE(DataExp1.1!AI4:AI8)</f>
        <v>2.0984690804853518E-3</v>
      </c>
      <c r="P10" s="5">
        <f>AVERAGE(DataExp1.1!AJ4:AJ8)</f>
        <v>4.1033407211303663</v>
      </c>
    </row>
    <row r="11" spans="1:20" x14ac:dyDescent="0.25">
      <c r="A11" s="43" t="s">
        <v>13</v>
      </c>
      <c r="B11" s="3">
        <v>1</v>
      </c>
      <c r="C11" s="43"/>
      <c r="D11" s="43"/>
      <c r="E11" s="43"/>
      <c r="F11" s="47"/>
      <c r="G11" s="43"/>
      <c r="H11" s="43"/>
      <c r="I11" s="43"/>
      <c r="J11" s="43"/>
      <c r="K11" s="29"/>
      <c r="L11" s="4">
        <f>AVERAGE(DataExp1.1!B13:B17)</f>
        <v>98.52386541032611</v>
      </c>
      <c r="M11" s="4">
        <f>AVERAGE(DataExp1.1!C13:C17)</f>
        <v>13.16799620264122</v>
      </c>
      <c r="N11" s="4">
        <f>AVERAGE(DataExp1.1!D13:D17)</f>
        <v>38.8018530138228</v>
      </c>
      <c r="O11" s="18">
        <f>AVERAGE(DataExp1.1!E13:E17)</f>
        <v>1.8313175473446699E-2</v>
      </c>
      <c r="P11" s="4">
        <f>AVERAGE(DataExp1.1!F13:F17)</f>
        <v>2.0277222156524619</v>
      </c>
    </row>
    <row r="12" spans="1:20" x14ac:dyDescent="0.25">
      <c r="A12" s="43"/>
      <c r="B12" s="3">
        <v>3</v>
      </c>
      <c r="C12" s="43"/>
      <c r="D12" s="43"/>
      <c r="E12" s="43"/>
      <c r="F12" s="47"/>
      <c r="G12" s="43"/>
      <c r="H12" s="43"/>
      <c r="I12" s="43"/>
      <c r="J12" s="43"/>
      <c r="K12" s="29"/>
      <c r="L12" s="4">
        <f>AVERAGE(DataExp1.1!G13:G17)</f>
        <v>3.5894588009443735</v>
      </c>
      <c r="M12" s="4">
        <f>AVERAGE(DataExp1.1!H13:H17)</f>
        <v>0.7271290796951515</v>
      </c>
      <c r="N12" s="4">
        <f>AVERAGE(DataExp1.1!I13:I17)</f>
        <v>72.87662904146822</v>
      </c>
      <c r="O12" s="18">
        <f>AVERAGE(DataExp1.1!J13:J17)</f>
        <v>3.8615452075436263E-2</v>
      </c>
      <c r="P12" s="4">
        <f>AVERAGE(DataExp1.1!K13:K17)</f>
        <v>2.2956936836242638</v>
      </c>
    </row>
    <row r="13" spans="1:20" x14ac:dyDescent="0.25">
      <c r="A13" s="43"/>
      <c r="B13" s="3">
        <v>5</v>
      </c>
      <c r="C13" s="43"/>
      <c r="D13" s="43"/>
      <c r="E13" s="43"/>
      <c r="F13" s="47"/>
      <c r="G13" s="43"/>
      <c r="H13" s="43"/>
      <c r="I13" s="43"/>
      <c r="J13" s="43"/>
      <c r="K13" s="29"/>
      <c r="L13" s="4">
        <f>AVERAGE(DataExp1.1!L13:L17)</f>
        <v>4.6885991481999643</v>
      </c>
      <c r="M13" s="4">
        <f>AVERAGE(DataExp1.1!M13:M17)</f>
        <v>0.94745746549765697</v>
      </c>
      <c r="N13" s="4">
        <f>AVERAGE(DataExp1.1!N13:N17)</f>
        <v>75.425655069113745</v>
      </c>
      <c r="O13" s="18">
        <f>AVERAGE(DataExp1.1!O13:O17)</f>
        <v>4.0570253313418236E-2</v>
      </c>
      <c r="P13" s="4">
        <f>AVERAGE(DataExp1.1!P13:P17)</f>
        <v>2.1628134727477986</v>
      </c>
    </row>
    <row r="14" spans="1:20" x14ac:dyDescent="0.25">
      <c r="A14" s="43"/>
      <c r="B14" s="3">
        <v>10</v>
      </c>
      <c r="C14" s="43"/>
      <c r="D14" s="43"/>
      <c r="E14" s="43"/>
      <c r="F14" s="47"/>
      <c r="G14" s="43"/>
      <c r="H14" s="43"/>
      <c r="I14" s="43"/>
      <c r="J14" s="43"/>
      <c r="K14" s="29"/>
      <c r="L14" s="4">
        <f>AVERAGE(DataExp1.1!Q13:Q17)</f>
        <v>4.6542904797370337</v>
      </c>
      <c r="M14" s="4">
        <f>AVERAGE(DataExp1.1!R13:R17)</f>
        <v>0.99628493667097506</v>
      </c>
      <c r="N14" s="4">
        <f>AVERAGE(DataExp1.1!S13:S17)</f>
        <v>76.236210138227662</v>
      </c>
      <c r="O14" s="18">
        <f>AVERAGE(DataExp1.1!T13:T17)</f>
        <v>4.119154816688074E-2</v>
      </c>
      <c r="P14" s="4">
        <f>AVERAGE(DataExp1.1!U13:U17)</f>
        <v>2.3146313190460179</v>
      </c>
    </row>
    <row r="15" spans="1:20" x14ac:dyDescent="0.25">
      <c r="A15" s="43"/>
      <c r="B15" s="3">
        <v>20</v>
      </c>
      <c r="C15" s="43"/>
      <c r="D15" s="43"/>
      <c r="E15" s="43"/>
      <c r="F15" s="47"/>
      <c r="G15" s="43"/>
      <c r="H15" s="43"/>
      <c r="I15" s="43"/>
      <c r="J15" s="43"/>
      <c r="K15" s="29"/>
      <c r="L15" s="4">
        <f>AVERAGE(DataExp1.1!V13:V17)</f>
        <v>4.7382106552509056</v>
      </c>
      <c r="M15" s="4">
        <f>AVERAGE(DataExp1.1!W13:W17)</f>
        <v>0.96927676121293316</v>
      </c>
      <c r="N15" s="4">
        <f>AVERAGE(DataExp1.1!X13:X17)</f>
        <v>75.716870276455225</v>
      </c>
      <c r="O15" s="18">
        <f>AVERAGE(DataExp1.1!Y13:Y17)</f>
        <v>4.0889827973840248E-2</v>
      </c>
      <c r="P15" s="4">
        <f>AVERAGE(DataExp1.1!Z13:Z17)</f>
        <v>2.6227613925933779</v>
      </c>
    </row>
    <row r="16" spans="1:20" x14ac:dyDescent="0.25">
      <c r="A16" s="43"/>
      <c r="B16" s="3">
        <v>50</v>
      </c>
      <c r="C16" s="43"/>
      <c r="D16" s="43"/>
      <c r="E16" s="43"/>
      <c r="F16" s="47"/>
      <c r="G16" s="43"/>
      <c r="H16" s="43"/>
      <c r="I16" s="43"/>
      <c r="J16" s="43"/>
      <c r="K16" s="29"/>
      <c r="L16" s="4">
        <f>AVERAGE(DataExp1.1!AA13:AA17)</f>
        <v>3.5014269837011178</v>
      </c>
      <c r="M16" s="4">
        <f>AVERAGE(DataExp1.1!AB13:AB17)</f>
        <v>0.82194590388464606</v>
      </c>
      <c r="N16" s="4">
        <f>AVERAGE(DataExp1.1!AC13:AC17)</f>
        <v>75.447920691138364</v>
      </c>
      <c r="O16" s="18">
        <f>AVERAGE(DataExp1.1!AD13:AD17)</f>
        <v>4.0578674015389359E-2</v>
      </c>
      <c r="P16" s="4">
        <f>AVERAGE(DataExp1.1!AE13:AE17)</f>
        <v>3.1331105232238721</v>
      </c>
    </row>
    <row r="17" spans="1:16" x14ac:dyDescent="0.25">
      <c r="A17" s="43"/>
      <c r="B17" s="3">
        <v>100</v>
      </c>
      <c r="C17" s="43"/>
      <c r="D17" s="43"/>
      <c r="E17" s="43"/>
      <c r="F17" s="47"/>
      <c r="G17" s="43"/>
      <c r="H17" s="43"/>
      <c r="I17" s="43"/>
      <c r="J17" s="43"/>
      <c r="K17" s="29"/>
      <c r="L17" s="4">
        <f>AVERAGE(DataExp1.1!AF13:AF17)</f>
        <v>4.0573849410218283</v>
      </c>
      <c r="M17" s="4">
        <f>AVERAGE(DataExp1.1!AG13:AG17)</f>
        <v>0.8986508097888064</v>
      </c>
      <c r="N17" s="4">
        <f>AVERAGE(DataExp1.1!AH13:AH17)</f>
        <v>75.918481382276838</v>
      </c>
      <c r="O17" s="18">
        <f>AVERAGE(DataExp1.1!AI13:AI17)</f>
        <v>4.0870484577033753E-2</v>
      </c>
      <c r="P17" s="4">
        <f>AVERAGE(DataExp1.1!AJ13:AJ17)</f>
        <v>4.1135736465454062</v>
      </c>
    </row>
    <row r="18" spans="1:16" x14ac:dyDescent="0.25">
      <c r="A18" s="44" t="s">
        <v>14</v>
      </c>
      <c r="B18" s="9">
        <v>1</v>
      </c>
      <c r="C18" s="43"/>
      <c r="D18" s="43"/>
      <c r="E18" s="43"/>
      <c r="F18" s="47"/>
      <c r="G18" s="43"/>
      <c r="H18" s="43"/>
      <c r="I18" s="43"/>
      <c r="J18" s="43"/>
      <c r="K18" s="30"/>
      <c r="L18" s="14">
        <f>AVERAGE(DataExp1.1!B22:B26)</f>
        <v>4.5451398138019297</v>
      </c>
      <c r="M18" s="14">
        <f>AVERAGE(DataExp1.1!C22:C26)</f>
        <v>0.75511641042661903</v>
      </c>
      <c r="N18" s="14">
        <f>AVERAGE(DataExp1.1!D22:D26)</f>
        <v>4.4845012962678503E-2</v>
      </c>
      <c r="O18" s="19">
        <f>AVERAGE(DataExp1.1!E22:E26)</f>
        <v>1.32229361220904E-4</v>
      </c>
      <c r="P18" s="14">
        <f>AVERAGE(DataExp1.1!F22:F26)</f>
        <v>0.21877102851867641</v>
      </c>
    </row>
    <row r="19" spans="1:16" x14ac:dyDescent="0.25">
      <c r="A19" s="44"/>
      <c r="B19" s="9">
        <v>3</v>
      </c>
      <c r="C19" s="43"/>
      <c r="D19" s="43"/>
      <c r="E19" s="43"/>
      <c r="F19" s="47"/>
      <c r="G19" s="43"/>
      <c r="H19" s="43"/>
      <c r="I19" s="43"/>
      <c r="J19" s="43"/>
      <c r="K19" s="30"/>
      <c r="L19" s="14">
        <f>AVERAGE(DataExp1.1!G22:G26)</f>
        <v>5.0008254388311881</v>
      </c>
      <c r="M19" s="14">
        <f>AVERAGE(DataExp1.1!H22:H26)</f>
        <v>0.83545625636470588</v>
      </c>
      <c r="N19" s="14">
        <f>AVERAGE(DataExp1.1!I22:I26)</f>
        <v>4.7840025925357063E-2</v>
      </c>
      <c r="O19" s="19">
        <f>AVERAGE(DataExp1.1!J22:J26)</f>
        <v>1.3391411094868099E-4</v>
      </c>
      <c r="P19" s="14">
        <f>AVERAGE(DataExp1.1!K22:K26)</f>
        <v>0.22898344993591283</v>
      </c>
    </row>
    <row r="20" spans="1:16" x14ac:dyDescent="0.25">
      <c r="A20" s="44"/>
      <c r="B20" s="9">
        <v>5</v>
      </c>
      <c r="C20" s="43"/>
      <c r="D20" s="43"/>
      <c r="E20" s="43"/>
      <c r="F20" s="47"/>
      <c r="G20" s="43"/>
      <c r="H20" s="43"/>
      <c r="I20" s="43"/>
      <c r="J20" s="43"/>
      <c r="K20" s="30"/>
      <c r="L20" s="14">
        <f>AVERAGE(DataExp1.1!L22:L26)</f>
        <v>5.1520558152375724</v>
      </c>
      <c r="M20" s="14">
        <f>AVERAGE(DataExp1.1!M22:M26)</f>
        <v>0.86004741560851961</v>
      </c>
      <c r="N20" s="14">
        <f>AVERAGE(DataExp1.1!N22:N26)</f>
        <v>4.78625388880356E-2</v>
      </c>
      <c r="O20" s="19">
        <f>AVERAGE(DataExp1.1!O22:O26)</f>
        <v>1.3392026491918619E-4</v>
      </c>
      <c r="P20" s="14">
        <f>AVERAGE(DataExp1.1!P22:P26)</f>
        <v>0.246152257919311</v>
      </c>
    </row>
    <row r="21" spans="1:16" x14ac:dyDescent="0.25">
      <c r="A21" s="44"/>
      <c r="B21" s="9">
        <v>10</v>
      </c>
      <c r="C21" s="43"/>
      <c r="D21" s="43"/>
      <c r="E21" s="43"/>
      <c r="F21" s="47"/>
      <c r="G21" s="43"/>
      <c r="H21" s="43"/>
      <c r="I21" s="43"/>
      <c r="J21" s="43"/>
      <c r="K21" s="30"/>
      <c r="L21" s="14">
        <f>AVERAGE(DataExp1.1!Q22:Q26)</f>
        <v>5.0638720407004723</v>
      </c>
      <c r="M21" s="14">
        <f>AVERAGE(DataExp1.1!R22:R26)</f>
        <v>0.84643462799769187</v>
      </c>
      <c r="N21" s="14">
        <f>AVERAGE(DataExp1.1!S22:S26)</f>
        <v>4.7856071294731906E-2</v>
      </c>
      <c r="O21" s="19">
        <f>AVERAGE(DataExp1.1!T22:T26)</f>
        <v>1.3392064621352862E-4</v>
      </c>
      <c r="P21" s="14">
        <f>AVERAGE(DataExp1.1!U22:U26)</f>
        <v>0.287752771377563</v>
      </c>
    </row>
    <row r="22" spans="1:16" x14ac:dyDescent="0.25">
      <c r="A22" s="44"/>
      <c r="B22" s="9">
        <v>20</v>
      </c>
      <c r="C22" s="43"/>
      <c r="D22" s="43"/>
      <c r="E22" s="43"/>
      <c r="F22" s="47"/>
      <c r="G22" s="43"/>
      <c r="H22" s="43"/>
      <c r="I22" s="43"/>
      <c r="J22" s="43"/>
      <c r="K22" s="30"/>
      <c r="L22" s="14">
        <f>AVERAGE(DataExp1.1!V22:V26)</f>
        <v>5.0919611857628801</v>
      </c>
      <c r="M22" s="14">
        <f>AVERAGE(DataExp1.1!W22:W26)</f>
        <v>0.85522738523555719</v>
      </c>
      <c r="N22" s="14">
        <f>AVERAGE(DataExp1.1!X22:X26)</f>
        <v>4.7852636108124666E-2</v>
      </c>
      <c r="O22" s="19">
        <f>AVERAGE(DataExp1.1!Y22:Y26)</f>
        <v>1.3391668298066859E-4</v>
      </c>
      <c r="P22" s="14">
        <f>AVERAGE(DataExp1.1!Z22:Z26)</f>
        <v>0.31381936073303179</v>
      </c>
    </row>
    <row r="23" spans="1:16" x14ac:dyDescent="0.25">
      <c r="A23" s="44"/>
      <c r="B23" s="9">
        <v>50</v>
      </c>
      <c r="C23" s="43"/>
      <c r="D23" s="43"/>
      <c r="E23" s="43"/>
      <c r="F23" s="47"/>
      <c r="G23" s="43"/>
      <c r="H23" s="43"/>
      <c r="I23" s="43"/>
      <c r="J23" s="43"/>
      <c r="K23" s="30"/>
      <c r="L23" s="14">
        <f>AVERAGE(DataExp1.1!AA22:AA26)</f>
        <v>5.1348735027135763</v>
      </c>
      <c r="M23" s="14">
        <f>AVERAGE(DataExp1.1!AB22:AB26)</f>
        <v>0.85522738523555719</v>
      </c>
      <c r="N23" s="14">
        <f>AVERAGE(DataExp1.1!AC22:AC26)</f>
        <v>4.7862330548302794E-2</v>
      </c>
      <c r="O23" s="19">
        <f>AVERAGE(DataExp1.1!AD22:AD26)</f>
        <v>1.3391971880370138E-4</v>
      </c>
      <c r="P23" s="14">
        <f>AVERAGE(DataExp1.1!AE22:AE26)</f>
        <v>0.52986040115356392</v>
      </c>
    </row>
    <row r="24" spans="1:16" x14ac:dyDescent="0.25">
      <c r="A24" s="44"/>
      <c r="B24" s="9">
        <v>100</v>
      </c>
      <c r="C24" s="43"/>
      <c r="D24" s="43"/>
      <c r="E24" s="43"/>
      <c r="F24" s="47"/>
      <c r="G24" s="43"/>
      <c r="H24" s="43"/>
      <c r="I24" s="43"/>
      <c r="J24" s="43"/>
      <c r="K24" s="30"/>
      <c r="L24" s="14">
        <f>AVERAGE(DataExp1.1!AF22:AF26)</f>
        <v>5.1012116368683964</v>
      </c>
      <c r="M24" s="14">
        <f>AVERAGE(DataExp1.1!AG22:AG26)</f>
        <v>0.85522738523555719</v>
      </c>
      <c r="N24" s="14">
        <f>AVERAGE(DataExp1.1!AH22:AH26)</f>
        <v>4.7848654615266308E-2</v>
      </c>
      <c r="O24" s="19">
        <f>AVERAGE(DataExp1.1!AI22:AI26)</f>
        <v>1.3391835474325302E-4</v>
      </c>
      <c r="P24" s="14">
        <f>AVERAGE(DataExp1.1!AJ22:AJ26)</f>
        <v>0.83993425369262664</v>
      </c>
    </row>
    <row r="25" spans="1:16" x14ac:dyDescent="0.25">
      <c r="A25" s="43" t="s">
        <v>15</v>
      </c>
      <c r="B25" s="3">
        <v>1</v>
      </c>
      <c r="C25" s="43"/>
      <c r="D25" s="43"/>
      <c r="E25" s="43"/>
      <c r="F25" s="47"/>
      <c r="G25" s="43"/>
      <c r="H25" s="43"/>
      <c r="I25" s="43"/>
      <c r="J25" s="43"/>
      <c r="K25" s="29"/>
      <c r="L25" s="4">
        <f>AVERAGE(DataExp1.1!B31:B35)</f>
        <v>69.119033281650658</v>
      </c>
      <c r="M25" s="4">
        <f>AVERAGE(DataExp1.1!C31:C35)</f>
        <v>9.1400504790035715</v>
      </c>
      <c r="N25" s="4">
        <f>AVERAGE(DataExp1.1!D31:D35)</f>
        <v>6.2164238822761397E-2</v>
      </c>
      <c r="O25" s="18">
        <f>AVERAGE(DataExp1.1!E31:E35)</f>
        <v>1.8067907660100239E-5</v>
      </c>
      <c r="P25" s="4">
        <f>AVERAGE(DataExp1.1!F31:F35)</f>
        <v>2.0296193599700878</v>
      </c>
    </row>
    <row r="26" spans="1:16" x14ac:dyDescent="0.25">
      <c r="A26" s="43"/>
      <c r="B26" s="3">
        <v>3</v>
      </c>
      <c r="C26" s="43"/>
      <c r="D26" s="43"/>
      <c r="E26" s="43"/>
      <c r="F26" s="47"/>
      <c r="G26" s="43"/>
      <c r="H26" s="43"/>
      <c r="I26" s="43"/>
      <c r="J26" s="43"/>
      <c r="K26" s="29"/>
      <c r="L26" s="4">
        <f>AVERAGE(DataExp1.1!G31:G35)</f>
        <v>3.8112034677615521</v>
      </c>
      <c r="M26" s="4">
        <f>AVERAGE(DataExp1.1!H31:H35)</f>
        <v>0.69516313804590357</v>
      </c>
      <c r="N26" s="4">
        <f>AVERAGE(DataExp1.1!I31:I35)</f>
        <v>8.8190446468285139E-2</v>
      </c>
      <c r="O26" s="18">
        <f>AVERAGE(DataExp1.1!J31:J35)</f>
        <v>2.7965649263200062E-5</v>
      </c>
      <c r="P26" s="4">
        <f>AVERAGE(DataExp1.1!K31:K35)</f>
        <v>2.2586493492126438</v>
      </c>
    </row>
    <row r="27" spans="1:16" x14ac:dyDescent="0.25">
      <c r="A27" s="43"/>
      <c r="B27" s="3">
        <v>5</v>
      </c>
      <c r="C27" s="43"/>
      <c r="D27" s="43"/>
      <c r="E27" s="43"/>
      <c r="F27" s="47"/>
      <c r="G27" s="43"/>
      <c r="H27" s="43"/>
      <c r="I27" s="43"/>
      <c r="J27" s="43"/>
      <c r="K27" s="29"/>
      <c r="L27" s="4">
        <f>AVERAGE(DataExp1.1!L31:L35)</f>
        <v>3.794055612529962</v>
      </c>
      <c r="M27" s="4">
        <f>AVERAGE(DataExp1.1!M31:M35)</f>
        <v>0.70219775458629363</v>
      </c>
      <c r="N27" s="4">
        <f>AVERAGE(DataExp1.1!N31:N35)</f>
        <v>8.8326634113808589E-2</v>
      </c>
      <c r="O27" s="18">
        <f>AVERAGE(DataExp1.1!O31:O35)</f>
        <v>2.8021684761329082E-5</v>
      </c>
      <c r="P27" s="4">
        <f>AVERAGE(DataExp1.1!P31:P35)</f>
        <v>2.2439172267913761</v>
      </c>
    </row>
    <row r="28" spans="1:16" x14ac:dyDescent="0.25">
      <c r="A28" s="43"/>
      <c r="B28" s="3">
        <v>10</v>
      </c>
      <c r="C28" s="43"/>
      <c r="D28" s="43"/>
      <c r="E28" s="43"/>
      <c r="F28" s="47"/>
      <c r="G28" s="43"/>
      <c r="H28" s="43"/>
      <c r="I28" s="43"/>
      <c r="J28" s="43"/>
      <c r="K28" s="29"/>
      <c r="L28" s="4">
        <f>AVERAGE(DataExp1.1!Q31:Q35)</f>
        <v>3.8227770814034598</v>
      </c>
      <c r="M28" s="4">
        <f>AVERAGE(DataExp1.1!R31:R35)</f>
        <v>0.71134642701416584</v>
      </c>
      <c r="N28" s="4">
        <f>AVERAGE(DataExp1.1!S31:S35)</f>
        <v>8.8408073227617207E-2</v>
      </c>
      <c r="O28" s="18">
        <f>AVERAGE(DataExp1.1!T31:T35)</f>
        <v>2.8090592794393498E-5</v>
      </c>
      <c r="P28" s="4">
        <f>AVERAGE(DataExp1.1!U31:U35)</f>
        <v>2.3377426147460882</v>
      </c>
    </row>
    <row r="29" spans="1:16" x14ac:dyDescent="0.25">
      <c r="A29" s="43"/>
      <c r="B29" s="3">
        <v>20</v>
      </c>
      <c r="C29" s="43"/>
      <c r="D29" s="43"/>
      <c r="E29" s="43"/>
      <c r="F29" s="47"/>
      <c r="G29" s="43"/>
      <c r="H29" s="43"/>
      <c r="I29" s="43"/>
      <c r="J29" s="43"/>
      <c r="K29" s="29"/>
      <c r="L29" s="4">
        <f>AVERAGE(DataExp1.1!V31:V35)</f>
        <v>3.8203191287719442</v>
      </c>
      <c r="M29" s="4">
        <f>AVERAGE(DataExp1.1!W31:W35)</f>
        <v>0.70427531835187795</v>
      </c>
      <c r="N29" s="4">
        <f>AVERAGE(DataExp1.1!X31:X35)</f>
        <v>8.838114145523468E-2</v>
      </c>
      <c r="O29" s="18">
        <f>AVERAGE(DataExp1.1!Y31:Y35)</f>
        <v>2.8150047223046325E-5</v>
      </c>
      <c r="P29" s="4">
        <f>AVERAGE(DataExp1.1!Z31:Z35)</f>
        <v>2.50453696250915</v>
      </c>
    </row>
    <row r="30" spans="1:16" x14ac:dyDescent="0.25">
      <c r="A30" s="43"/>
      <c r="B30" s="3">
        <v>50</v>
      </c>
      <c r="C30" s="43"/>
      <c r="D30" s="43"/>
      <c r="E30" s="43"/>
      <c r="F30" s="47"/>
      <c r="G30" s="43"/>
      <c r="H30" s="43"/>
      <c r="I30" s="43"/>
      <c r="J30" s="43"/>
      <c r="K30" s="29"/>
      <c r="L30" s="4">
        <f>AVERAGE(DataExp1.1!AA31:AA35)</f>
        <v>3.7894569132805862</v>
      </c>
      <c r="M30" s="4">
        <f>AVERAGE(DataExp1.1!AB31:AB35)</f>
        <v>0.70514874222061896</v>
      </c>
      <c r="N30" s="4">
        <f>AVERAGE(DataExp1.1!AC31:AC35)</f>
        <v>8.8368656138086393E-2</v>
      </c>
      <c r="O30" s="18">
        <f>AVERAGE(DataExp1.1!AD31:AD35)</f>
        <v>2.8378001974541202E-5</v>
      </c>
      <c r="P30" s="4">
        <f>AVERAGE(DataExp1.1!AE31:AE35)</f>
        <v>3.0570623874664258</v>
      </c>
    </row>
    <row r="31" spans="1:16" x14ac:dyDescent="0.25">
      <c r="A31" s="43"/>
      <c r="B31" s="3">
        <v>100</v>
      </c>
      <c r="C31" s="43"/>
      <c r="D31" s="43"/>
      <c r="E31" s="43"/>
      <c r="F31" s="45"/>
      <c r="G31" s="43"/>
      <c r="H31" s="43"/>
      <c r="I31" s="43"/>
      <c r="J31" s="43"/>
      <c r="K31" s="29"/>
      <c r="L31" s="4">
        <f>AVERAGE(DataExp1.1!AF31:AF35)</f>
        <v>3.9279650153360124</v>
      </c>
      <c r="M31" s="4">
        <f>AVERAGE(DataExp1.1!AG31:AG35)</f>
        <v>0.71758144498594478</v>
      </c>
      <c r="N31" s="4">
        <f>AVERAGE(DataExp1.1!AH31:AH35)</f>
        <v>8.8513427276172826E-2</v>
      </c>
      <c r="O31" s="18">
        <f>AVERAGE(DataExp1.1!AI31:AI35)</f>
        <v>2.881003835921884E-5</v>
      </c>
      <c r="P31" s="4">
        <f>AVERAGE(DataExp1.1!AJ31:AJ35)</f>
        <v>4.0600381851196241</v>
      </c>
    </row>
    <row r="33" spans="1:16" x14ac:dyDescent="0.25">
      <c r="A33" s="49" t="s">
        <v>12</v>
      </c>
      <c r="B33" s="3">
        <v>1</v>
      </c>
      <c r="C33" s="43" t="s">
        <v>24</v>
      </c>
      <c r="D33" s="43">
        <v>128</v>
      </c>
      <c r="E33" s="43">
        <v>128</v>
      </c>
      <c r="F33" s="52">
        <v>1.1200000000000001</v>
      </c>
      <c r="G33" s="43">
        <v>1</v>
      </c>
      <c r="H33" s="43">
        <v>1</v>
      </c>
      <c r="I33" s="43">
        <v>128</v>
      </c>
      <c r="J33" s="43">
        <v>128</v>
      </c>
      <c r="K33" s="29"/>
      <c r="L33" s="4">
        <f>AVERAGE(DataExp1.1!B41:B45)</f>
        <v>49.109113664906239</v>
      </c>
      <c r="M33" s="4">
        <f>AVERAGE(DataExp1.1!C41:C45)</f>
        <v>7.1307054880345344</v>
      </c>
      <c r="N33" s="4">
        <f>AVERAGE(DataExp1.1!D41:D45)</f>
        <v>273.03645301382198</v>
      </c>
      <c r="O33" s="18">
        <f>AVERAGE(DataExp1.1!E41:E45)</f>
        <v>8.330414785899361E-4</v>
      </c>
      <c r="P33" s="4">
        <f>AVERAGE(DataExp1.1!F41:F45)</f>
        <v>1.8286528110504121</v>
      </c>
    </row>
    <row r="34" spans="1:16" x14ac:dyDescent="0.25">
      <c r="A34" s="50"/>
      <c r="B34" s="3">
        <v>3</v>
      </c>
      <c r="C34" s="43"/>
      <c r="D34" s="43"/>
      <c r="E34" s="43"/>
      <c r="F34" s="47"/>
      <c r="G34" s="43"/>
      <c r="H34" s="43"/>
      <c r="I34" s="43"/>
      <c r="J34" s="43"/>
      <c r="K34" s="29"/>
      <c r="L34" s="4">
        <f>AVERAGE(DataExp1.1!G41:G45)</f>
        <v>29.353773127605098</v>
      </c>
      <c r="M34" s="4">
        <f>AVERAGE(DataExp1.1!H41:H45)</f>
        <v>4.4551993118062274</v>
      </c>
      <c r="N34" s="4">
        <f>AVERAGE(DataExp1.1!I41:I45)</f>
        <v>449.8807290414685</v>
      </c>
      <c r="O34" s="18">
        <f>AVERAGE(DataExp1.1!J41:J45)</f>
        <v>1.61804010052393E-3</v>
      </c>
      <c r="P34" s="4">
        <f>AVERAGE(DataExp1.1!K41:K45)</f>
        <v>1.9974822521209681</v>
      </c>
    </row>
    <row r="35" spans="1:16" x14ac:dyDescent="0.25">
      <c r="A35" s="50"/>
      <c r="B35" s="3">
        <v>5</v>
      </c>
      <c r="C35" s="43"/>
      <c r="D35" s="43"/>
      <c r="E35" s="43"/>
      <c r="F35" s="47"/>
      <c r="G35" s="43"/>
      <c r="H35" s="43"/>
      <c r="I35" s="43"/>
      <c r="J35" s="43"/>
      <c r="K35" s="29"/>
      <c r="L35" s="4">
        <f>AVERAGE(DataExp1.1!L41:L45)</f>
        <v>15.663362976697901</v>
      </c>
      <c r="M35" s="4">
        <f>AVERAGE(DataExp1.1!M41:M45)</f>
        <v>2.88709338804897</v>
      </c>
      <c r="N35" s="4">
        <f>AVERAGE(DataExp1.1!N41:N45)</f>
        <v>533.09905506911332</v>
      </c>
      <c r="O35" s="18">
        <f>AVERAGE(DataExp1.1!O41:O45)</f>
        <v>1.9726829970891321E-3</v>
      </c>
      <c r="P35" s="3">
        <f>AVERAGE(DataExp1.1!P41:P45)</f>
        <v>1.9856193065643257</v>
      </c>
    </row>
    <row r="36" spans="1:16" x14ac:dyDescent="0.25">
      <c r="A36" s="50"/>
      <c r="B36" s="3">
        <v>10</v>
      </c>
      <c r="C36" s="43"/>
      <c r="D36" s="43"/>
      <c r="E36" s="43"/>
      <c r="F36" s="47"/>
      <c r="G36" s="43"/>
      <c r="H36" s="43"/>
      <c r="I36" s="43"/>
      <c r="J36" s="43"/>
      <c r="K36" s="29"/>
      <c r="L36" s="4">
        <f>AVERAGE(DataExp1.1!Q41:Q45)</f>
        <v>2.6831688983529682</v>
      </c>
      <c r="M36" s="4">
        <f>AVERAGE(DataExp1.1!R41:R45)</f>
        <v>0.85955240456339899</v>
      </c>
      <c r="N36" s="4">
        <f>AVERAGE(DataExp1.1!S41:S45)</f>
        <v>616.52937013822589</v>
      </c>
      <c r="O36" s="18">
        <f>AVERAGE(DataExp1.1!T41:T45)</f>
        <v>2.241591127991474E-3</v>
      </c>
      <c r="P36" s="3">
        <f>AVERAGE(DataExp1.1!U41:U45)</f>
        <v>2.0965623378753619</v>
      </c>
    </row>
    <row r="37" spans="1:16" x14ac:dyDescent="0.25">
      <c r="A37" s="50"/>
      <c r="B37" s="3">
        <v>20</v>
      </c>
      <c r="C37" s="43"/>
      <c r="D37" s="43"/>
      <c r="E37" s="43"/>
      <c r="F37" s="47"/>
      <c r="G37" s="43"/>
      <c r="H37" s="43"/>
      <c r="I37" s="43"/>
      <c r="J37" s="43"/>
      <c r="K37" s="29"/>
      <c r="L37" s="4">
        <f>AVERAGE(DataExp1.1!V41:V45)</f>
        <v>1.976742439773264</v>
      </c>
      <c r="M37" s="4">
        <f>AVERAGE(DataExp1.1!W41:W45)</f>
        <v>0.49921018725094479</v>
      </c>
      <c r="N37" s="4">
        <f>AVERAGE(DataExp1.1!X41:X45)</f>
        <v>582.73242027645415</v>
      </c>
      <c r="O37" s="18">
        <f>AVERAGE(DataExp1.1!Y41:Y45)</f>
        <v>2.1948611193922342E-3</v>
      </c>
      <c r="P37" s="3" t="e">
        <f>AVERAGE(DataExp1.1!Z41:Z45)</f>
        <v>#DIV/0!</v>
      </c>
    </row>
    <row r="38" spans="1:16" x14ac:dyDescent="0.25">
      <c r="A38" s="50"/>
      <c r="B38" s="3">
        <v>50</v>
      </c>
      <c r="C38" s="43"/>
      <c r="D38" s="43"/>
      <c r="E38" s="43"/>
      <c r="F38" s="47"/>
      <c r="G38" s="43"/>
      <c r="H38" s="43"/>
      <c r="I38" s="43"/>
      <c r="J38" s="43"/>
      <c r="K38" s="29"/>
      <c r="L38" s="4">
        <f>AVERAGE(DataExp1.1!AA41:AA45)</f>
        <v>1.6365291135842757</v>
      </c>
      <c r="M38" s="4">
        <f>AVERAGE(DataExp1.1!AB41:AB45)</f>
        <v>0.51205840109109702</v>
      </c>
      <c r="N38" s="4">
        <f>AVERAGE(DataExp1.1!AC41:AC45)</f>
        <v>611.12481069113653</v>
      </c>
      <c r="O38" s="18">
        <f>AVERAGE(DataExp1.1!AD41:AD45)</f>
        <v>2.2408296386826902E-3</v>
      </c>
      <c r="P38" s="3" t="e">
        <f>AVERAGE(DataExp1.1!AE41:AE45)</f>
        <v>#DIV/0!</v>
      </c>
    </row>
    <row r="39" spans="1:16" x14ac:dyDescent="0.25">
      <c r="A39" s="51"/>
      <c r="B39" s="3">
        <v>100</v>
      </c>
      <c r="C39" s="43"/>
      <c r="D39" s="43"/>
      <c r="E39" s="43"/>
      <c r="F39" s="47"/>
      <c r="G39" s="43"/>
      <c r="H39" s="43"/>
      <c r="I39" s="43"/>
      <c r="J39" s="43"/>
      <c r="K39" s="29"/>
      <c r="L39" s="4">
        <f>AVERAGE(DataExp1.1!AF41:AF45)</f>
        <v>1.7066608066957361</v>
      </c>
      <c r="M39" s="4">
        <f>AVERAGE(DataExp1.1!AG41:AG45)</f>
        <v>0.41120745370947642</v>
      </c>
      <c r="N39" s="4">
        <f>AVERAGE(DataExp1.1!AH41:AH45)</f>
        <v>626.16801138227538</v>
      </c>
      <c r="O39" s="18">
        <f>AVERAGE(DataExp1.1!AI41:AI45)</f>
        <v>2.320480338158932E-3</v>
      </c>
      <c r="P39" s="4" t="e">
        <f>AVERAGE(DataExp1.1!AJ41:AJ45)</f>
        <v>#DIV/0!</v>
      </c>
    </row>
    <row r="40" spans="1:16" x14ac:dyDescent="0.25">
      <c r="A40" s="44" t="s">
        <v>13</v>
      </c>
      <c r="B40" s="9">
        <v>1</v>
      </c>
      <c r="C40" s="43"/>
      <c r="D40" s="43"/>
      <c r="E40" s="43"/>
      <c r="F40" s="47"/>
      <c r="G40" s="43"/>
      <c r="H40" s="43"/>
      <c r="I40" s="43"/>
      <c r="J40" s="43"/>
      <c r="K40" s="30"/>
      <c r="L40" s="14"/>
      <c r="M40" s="14"/>
      <c r="N40" s="14"/>
      <c r="O40" s="19"/>
      <c r="P40" s="14"/>
    </row>
    <row r="41" spans="1:16" x14ac:dyDescent="0.25">
      <c r="A41" s="44"/>
      <c r="B41" s="9">
        <v>3</v>
      </c>
      <c r="C41" s="43"/>
      <c r="D41" s="43"/>
      <c r="E41" s="43"/>
      <c r="F41" s="47"/>
      <c r="G41" s="43"/>
      <c r="H41" s="43"/>
      <c r="I41" s="43"/>
      <c r="J41" s="43"/>
      <c r="K41" s="30"/>
      <c r="L41" s="14"/>
      <c r="M41" s="14"/>
      <c r="N41" s="14"/>
      <c r="O41" s="19"/>
      <c r="P41" s="14"/>
    </row>
    <row r="42" spans="1:16" x14ac:dyDescent="0.25">
      <c r="A42" s="44"/>
      <c r="B42" s="9">
        <v>5</v>
      </c>
      <c r="C42" s="43"/>
      <c r="D42" s="43"/>
      <c r="E42" s="43"/>
      <c r="F42" s="47"/>
      <c r="G42" s="43"/>
      <c r="H42" s="43"/>
      <c r="I42" s="43"/>
      <c r="J42" s="43"/>
      <c r="K42" s="30"/>
      <c r="L42" s="14"/>
      <c r="M42" s="14"/>
      <c r="N42" s="14"/>
      <c r="O42" s="19"/>
      <c r="P42" s="14"/>
    </row>
    <row r="43" spans="1:16" x14ac:dyDescent="0.25">
      <c r="A43" s="44"/>
      <c r="B43" s="9">
        <v>10</v>
      </c>
      <c r="C43" s="43"/>
      <c r="D43" s="43"/>
      <c r="E43" s="43"/>
      <c r="F43" s="47"/>
      <c r="G43" s="43"/>
      <c r="H43" s="43"/>
      <c r="I43" s="43"/>
      <c r="J43" s="43"/>
      <c r="K43" s="30"/>
      <c r="L43" s="14"/>
      <c r="M43" s="14"/>
      <c r="N43" s="14"/>
      <c r="O43" s="19"/>
      <c r="P43" s="14"/>
    </row>
    <row r="44" spans="1:16" x14ac:dyDescent="0.25">
      <c r="A44" s="44"/>
      <c r="B44" s="9">
        <v>20</v>
      </c>
      <c r="C44" s="43"/>
      <c r="D44" s="43"/>
      <c r="E44" s="43"/>
      <c r="F44" s="47"/>
      <c r="G44" s="43"/>
      <c r="H44" s="43"/>
      <c r="I44" s="43"/>
      <c r="J44" s="43"/>
      <c r="K44" s="30"/>
      <c r="L44" s="14"/>
      <c r="M44" s="14"/>
      <c r="N44" s="14"/>
      <c r="O44" s="19"/>
      <c r="P44" s="14"/>
    </row>
    <row r="45" spans="1:16" x14ac:dyDescent="0.25">
      <c r="A45" s="44"/>
      <c r="B45" s="9">
        <v>50</v>
      </c>
      <c r="C45" s="43"/>
      <c r="D45" s="43"/>
      <c r="E45" s="43"/>
      <c r="F45" s="47"/>
      <c r="G45" s="43"/>
      <c r="H45" s="43"/>
      <c r="I45" s="43"/>
      <c r="J45" s="43"/>
      <c r="K45" s="30"/>
      <c r="L45" s="14"/>
      <c r="M45" s="14"/>
      <c r="N45" s="14"/>
      <c r="O45" s="19"/>
      <c r="P45" s="14"/>
    </row>
    <row r="46" spans="1:16" x14ac:dyDescent="0.25">
      <c r="A46" s="44"/>
      <c r="B46" s="9">
        <v>100</v>
      </c>
      <c r="C46" s="43"/>
      <c r="D46" s="43"/>
      <c r="E46" s="43"/>
      <c r="F46" s="47"/>
      <c r="G46" s="43"/>
      <c r="H46" s="43"/>
      <c r="I46" s="43"/>
      <c r="J46" s="43"/>
      <c r="K46" s="30"/>
      <c r="L46" s="14"/>
      <c r="M46" s="14"/>
      <c r="N46" s="14"/>
      <c r="O46" s="19"/>
      <c r="P46" s="14"/>
    </row>
    <row r="47" spans="1:16" x14ac:dyDescent="0.25">
      <c r="A47" s="48" t="s">
        <v>14</v>
      </c>
      <c r="B47" s="3">
        <v>1</v>
      </c>
      <c r="C47" s="43"/>
      <c r="D47" s="43"/>
      <c r="E47" s="43"/>
      <c r="F47" s="47"/>
      <c r="G47" s="43"/>
      <c r="H47" s="43"/>
      <c r="I47" s="43"/>
      <c r="J47" s="43"/>
      <c r="K47" s="29"/>
      <c r="L47" s="4"/>
      <c r="M47" s="4"/>
      <c r="N47" s="4"/>
      <c r="O47" s="18"/>
      <c r="P47" s="4"/>
    </row>
    <row r="48" spans="1:16" x14ac:dyDescent="0.25">
      <c r="A48" s="48"/>
      <c r="B48" s="3">
        <v>3</v>
      </c>
      <c r="C48" s="43"/>
      <c r="D48" s="43"/>
      <c r="E48" s="43"/>
      <c r="F48" s="47"/>
      <c r="G48" s="43"/>
      <c r="H48" s="43"/>
      <c r="I48" s="43"/>
      <c r="J48" s="43"/>
      <c r="K48" s="29"/>
      <c r="L48" s="4"/>
      <c r="M48" s="4"/>
      <c r="N48" s="4"/>
      <c r="O48" s="18"/>
      <c r="P48" s="4"/>
    </row>
    <row r="49" spans="1:16" x14ac:dyDescent="0.25">
      <c r="A49" s="48"/>
      <c r="B49" s="3">
        <v>5</v>
      </c>
      <c r="C49" s="43"/>
      <c r="D49" s="43"/>
      <c r="E49" s="43"/>
      <c r="F49" s="47"/>
      <c r="G49" s="43"/>
      <c r="H49" s="43"/>
      <c r="I49" s="43"/>
      <c r="J49" s="43"/>
      <c r="K49" s="29"/>
      <c r="L49" s="4"/>
      <c r="M49" s="4"/>
      <c r="N49" s="4"/>
      <c r="O49" s="18"/>
      <c r="P49" s="4"/>
    </row>
    <row r="50" spans="1:16" x14ac:dyDescent="0.25">
      <c r="A50" s="48"/>
      <c r="B50" s="10">
        <v>10</v>
      </c>
      <c r="C50" s="43"/>
      <c r="D50" s="43"/>
      <c r="E50" s="43"/>
      <c r="F50" s="47"/>
      <c r="G50" s="43"/>
      <c r="H50" s="43"/>
      <c r="I50" s="43"/>
      <c r="J50" s="43"/>
      <c r="K50" s="29"/>
      <c r="L50" s="4"/>
      <c r="M50" s="4"/>
      <c r="N50" s="4"/>
      <c r="O50" s="18"/>
      <c r="P50" s="4"/>
    </row>
    <row r="51" spans="1:16" x14ac:dyDescent="0.25">
      <c r="A51" s="48"/>
      <c r="B51" s="10">
        <v>20</v>
      </c>
      <c r="C51" s="43"/>
      <c r="D51" s="43"/>
      <c r="E51" s="43"/>
      <c r="F51" s="47"/>
      <c r="G51" s="43"/>
      <c r="H51" s="43"/>
      <c r="I51" s="43"/>
      <c r="J51" s="43"/>
      <c r="K51" s="29"/>
      <c r="L51" s="4"/>
      <c r="M51" s="4"/>
      <c r="N51" s="4"/>
      <c r="O51" s="18"/>
      <c r="P51" s="4"/>
    </row>
    <row r="52" spans="1:16" x14ac:dyDescent="0.25">
      <c r="A52" s="48"/>
      <c r="B52" s="10">
        <v>50</v>
      </c>
      <c r="C52" s="43"/>
      <c r="D52" s="43"/>
      <c r="E52" s="43"/>
      <c r="F52" s="47"/>
      <c r="G52" s="43"/>
      <c r="H52" s="43"/>
      <c r="I52" s="43"/>
      <c r="J52" s="43"/>
      <c r="K52" s="29"/>
      <c r="L52" s="4"/>
      <c r="M52" s="4"/>
      <c r="N52" s="4"/>
      <c r="O52" s="18"/>
      <c r="P52" s="4"/>
    </row>
    <row r="53" spans="1:16" x14ac:dyDescent="0.25">
      <c r="A53" s="48"/>
      <c r="B53" s="10">
        <v>100</v>
      </c>
      <c r="C53" s="43"/>
      <c r="D53" s="43"/>
      <c r="E53" s="43"/>
      <c r="F53" s="47"/>
      <c r="G53" s="43"/>
      <c r="H53" s="43"/>
      <c r="I53" s="43"/>
      <c r="J53" s="43"/>
      <c r="K53" s="29"/>
      <c r="L53" s="4"/>
      <c r="M53" s="4"/>
      <c r="N53" s="4"/>
      <c r="O53" s="18"/>
      <c r="P53" s="4"/>
    </row>
    <row r="54" spans="1:16" x14ac:dyDescent="0.25">
      <c r="A54" s="44" t="s">
        <v>15</v>
      </c>
      <c r="B54" s="9">
        <v>1</v>
      </c>
      <c r="C54" s="43"/>
      <c r="D54" s="43"/>
      <c r="E54" s="43"/>
      <c r="F54" s="47"/>
      <c r="G54" s="43"/>
      <c r="H54" s="43"/>
      <c r="I54" s="43"/>
      <c r="J54" s="43"/>
      <c r="K54" s="30"/>
      <c r="L54" s="14"/>
      <c r="M54" s="14"/>
      <c r="N54" s="14"/>
      <c r="O54" s="19"/>
      <c r="P54" s="14"/>
    </row>
    <row r="55" spans="1:16" x14ac:dyDescent="0.25">
      <c r="A55" s="44"/>
      <c r="B55" s="9">
        <v>3</v>
      </c>
      <c r="C55" s="43"/>
      <c r="D55" s="43"/>
      <c r="E55" s="43"/>
      <c r="F55" s="47"/>
      <c r="G55" s="43"/>
      <c r="H55" s="43"/>
      <c r="I55" s="43"/>
      <c r="J55" s="43"/>
      <c r="K55" s="30"/>
      <c r="L55" s="14"/>
      <c r="M55" s="14"/>
      <c r="N55" s="14"/>
      <c r="O55" s="19"/>
      <c r="P55" s="14"/>
    </row>
    <row r="56" spans="1:16" x14ac:dyDescent="0.25">
      <c r="A56" s="44"/>
      <c r="B56" s="9">
        <v>5</v>
      </c>
      <c r="C56" s="43"/>
      <c r="D56" s="43"/>
      <c r="E56" s="43"/>
      <c r="F56" s="47"/>
      <c r="G56" s="43"/>
      <c r="H56" s="43"/>
      <c r="I56" s="43"/>
      <c r="J56" s="43"/>
      <c r="K56" s="30"/>
      <c r="L56" s="14"/>
      <c r="M56" s="14"/>
      <c r="N56" s="14"/>
      <c r="O56" s="19"/>
      <c r="P56" s="14"/>
    </row>
    <row r="57" spans="1:16" x14ac:dyDescent="0.25">
      <c r="A57" s="44"/>
      <c r="B57" s="9">
        <v>10</v>
      </c>
      <c r="C57" s="43"/>
      <c r="D57" s="43"/>
      <c r="E57" s="43"/>
      <c r="F57" s="47"/>
      <c r="G57" s="43"/>
      <c r="H57" s="43"/>
      <c r="I57" s="43"/>
      <c r="J57" s="43"/>
      <c r="K57" s="30"/>
      <c r="L57" s="14"/>
      <c r="M57" s="14"/>
      <c r="N57" s="14"/>
      <c r="O57" s="19"/>
      <c r="P57" s="14"/>
    </row>
    <row r="58" spans="1:16" x14ac:dyDescent="0.25">
      <c r="A58" s="44"/>
      <c r="B58" s="9">
        <v>20</v>
      </c>
      <c r="C58" s="43"/>
      <c r="D58" s="43"/>
      <c r="E58" s="43"/>
      <c r="F58" s="47"/>
      <c r="G58" s="43"/>
      <c r="H58" s="43"/>
      <c r="I58" s="43"/>
      <c r="J58" s="43"/>
      <c r="K58" s="30"/>
      <c r="L58" s="14"/>
      <c r="M58" s="14"/>
      <c r="N58" s="14"/>
      <c r="O58" s="19"/>
      <c r="P58" s="14"/>
    </row>
    <row r="59" spans="1:16" x14ac:dyDescent="0.25">
      <c r="A59" s="44"/>
      <c r="B59" s="9">
        <v>50</v>
      </c>
      <c r="C59" s="43"/>
      <c r="D59" s="43"/>
      <c r="E59" s="43"/>
      <c r="F59" s="47"/>
      <c r="G59" s="43"/>
      <c r="H59" s="43"/>
      <c r="I59" s="43"/>
      <c r="J59" s="43"/>
      <c r="K59" s="30"/>
      <c r="L59" s="14"/>
      <c r="M59" s="14"/>
      <c r="N59" s="14"/>
      <c r="O59" s="19"/>
      <c r="P59" s="14"/>
    </row>
    <row r="60" spans="1:16" x14ac:dyDescent="0.25">
      <c r="A60" s="44"/>
      <c r="B60" s="9">
        <v>100</v>
      </c>
      <c r="C60" s="43"/>
      <c r="D60" s="43"/>
      <c r="E60" s="43"/>
      <c r="F60" s="45"/>
      <c r="G60" s="43"/>
      <c r="H60" s="43"/>
      <c r="I60" s="43"/>
      <c r="J60" s="43"/>
      <c r="K60" s="30"/>
      <c r="L60" s="14"/>
      <c r="M60" s="14"/>
      <c r="N60" s="14"/>
      <c r="O60" s="19"/>
      <c r="P60" s="14"/>
    </row>
  </sheetData>
  <mergeCells count="25">
    <mergeCell ref="A40:A46"/>
    <mergeCell ref="A47:A53"/>
    <mergeCell ref="A54:A60"/>
    <mergeCell ref="I4:I31"/>
    <mergeCell ref="J4:J31"/>
    <mergeCell ref="A33:A39"/>
    <mergeCell ref="C33:C60"/>
    <mergeCell ref="D33:D60"/>
    <mergeCell ref="E33:E60"/>
    <mergeCell ref="G33:G60"/>
    <mergeCell ref="H33:H60"/>
    <mergeCell ref="I33:I60"/>
    <mergeCell ref="J33:J60"/>
    <mergeCell ref="F33:F60"/>
    <mergeCell ref="A1:T1"/>
    <mergeCell ref="A4:A10"/>
    <mergeCell ref="A11:A17"/>
    <mergeCell ref="A18:A24"/>
    <mergeCell ref="A25:A31"/>
    <mergeCell ref="C4:C31"/>
    <mergeCell ref="D4:D31"/>
    <mergeCell ref="E4:E31"/>
    <mergeCell ref="G4:G31"/>
    <mergeCell ref="H4:H31"/>
    <mergeCell ref="F4:F31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575D-E9A4-466E-9459-9B52AEDB3DA6}">
  <dimension ref="B1:V55"/>
  <sheetViews>
    <sheetView topLeftCell="A31" zoomScale="115" zoomScaleNormal="115" workbookViewId="0">
      <selection activeCell="G50" sqref="G50"/>
    </sheetView>
  </sheetViews>
  <sheetFormatPr defaultColWidth="8.85546875" defaultRowHeight="15" x14ac:dyDescent="0.25"/>
  <cols>
    <col min="2" max="2" width="12.140625" bestFit="1" customWidth="1"/>
    <col min="3" max="3" width="12" bestFit="1" customWidth="1"/>
    <col min="4" max="4" width="8.140625" bestFit="1" customWidth="1"/>
    <col min="5" max="5" width="12" bestFit="1" customWidth="1"/>
    <col min="6" max="6" width="12.42578125" bestFit="1" customWidth="1"/>
    <col min="7" max="7" width="8.140625" bestFit="1" customWidth="1"/>
    <col min="8" max="8" width="10.28515625" bestFit="1" customWidth="1"/>
    <col min="11" max="11" width="9.42578125" bestFit="1" customWidth="1"/>
    <col min="13" max="13" width="8.140625" bestFit="1" customWidth="1"/>
    <col min="14" max="14" width="9.42578125" bestFit="1" customWidth="1"/>
  </cols>
  <sheetData>
    <row r="1" spans="2:22" x14ac:dyDescent="0.25">
      <c r="B1" s="53" t="s">
        <v>36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21"/>
    </row>
    <row r="2" spans="2:22" x14ac:dyDescent="0.25">
      <c r="B2" s="36" t="s">
        <v>19</v>
      </c>
      <c r="C2" s="37"/>
      <c r="D2" s="38"/>
      <c r="E2" s="36" t="s">
        <v>21</v>
      </c>
      <c r="F2" s="37"/>
      <c r="G2" s="38"/>
      <c r="H2" s="32" t="s">
        <v>22</v>
      </c>
      <c r="I2" s="33"/>
      <c r="J2" s="34"/>
      <c r="K2" s="54" t="s">
        <v>16</v>
      </c>
      <c r="L2" s="54"/>
      <c r="M2" s="54"/>
      <c r="N2" s="54" t="s">
        <v>37</v>
      </c>
      <c r="O2" s="54"/>
      <c r="P2" s="54"/>
      <c r="Q2" s="54" t="s">
        <v>38</v>
      </c>
      <c r="R2" s="54"/>
      <c r="S2" s="54"/>
      <c r="T2" s="54" t="s">
        <v>31</v>
      </c>
      <c r="U2" s="54"/>
      <c r="V2" s="54"/>
    </row>
    <row r="3" spans="2:22" ht="45" x14ac:dyDescent="0.25">
      <c r="B3" s="2" t="s">
        <v>20</v>
      </c>
      <c r="C3" s="2" t="s">
        <v>9</v>
      </c>
      <c r="D3" s="23" t="s">
        <v>30</v>
      </c>
      <c r="E3" s="2" t="s">
        <v>20</v>
      </c>
      <c r="F3" s="2" t="s">
        <v>9</v>
      </c>
      <c r="G3" s="23" t="s">
        <v>30</v>
      </c>
      <c r="H3" s="8" t="s">
        <v>20</v>
      </c>
      <c r="I3" s="8" t="s">
        <v>9</v>
      </c>
      <c r="J3" s="23" t="s">
        <v>30</v>
      </c>
      <c r="K3" s="8" t="s">
        <v>20</v>
      </c>
      <c r="L3" s="8" t="s">
        <v>9</v>
      </c>
      <c r="M3" s="23" t="s">
        <v>30</v>
      </c>
      <c r="N3" s="8" t="s">
        <v>20</v>
      </c>
      <c r="O3" s="8" t="s">
        <v>9</v>
      </c>
      <c r="P3" s="23" t="s">
        <v>30</v>
      </c>
      <c r="Q3" s="8" t="s">
        <v>20</v>
      </c>
      <c r="R3" s="8" t="s">
        <v>9</v>
      </c>
      <c r="S3" s="23" t="s">
        <v>30</v>
      </c>
      <c r="T3" s="8" t="s">
        <v>20</v>
      </c>
      <c r="U3" s="8" t="s">
        <v>9</v>
      </c>
      <c r="V3" s="23" t="s">
        <v>30</v>
      </c>
    </row>
    <row r="4" spans="2:22" x14ac:dyDescent="0.25">
      <c r="B4" s="4">
        <v>1422.6486110266001</v>
      </c>
      <c r="C4" s="4">
        <v>45.929811909532802</v>
      </c>
      <c r="D4" s="4">
        <v>11.247503519058199</v>
      </c>
      <c r="E4" s="5">
        <v>705.57961533727905</v>
      </c>
      <c r="F4" s="5">
        <v>23.691616665916101</v>
      </c>
      <c r="G4" s="5">
        <v>11.5416815280914</v>
      </c>
      <c r="H4" s="4">
        <v>445.21466785689103</v>
      </c>
      <c r="I4" s="4">
        <v>15.6372913539942</v>
      </c>
      <c r="J4" s="4">
        <v>11.7682547569274</v>
      </c>
      <c r="K4" s="5">
        <v>13.3974143910746</v>
      </c>
      <c r="L4" s="5">
        <v>2.8155392856069898</v>
      </c>
      <c r="M4" s="5">
        <v>11.6075575351715</v>
      </c>
      <c r="N4" s="5">
        <v>6.3181789085846596</v>
      </c>
      <c r="O4" s="5">
        <v>2.08095050376079</v>
      </c>
      <c r="P4" s="5">
        <v>12.9025807380676</v>
      </c>
      <c r="Q4" s="5"/>
      <c r="R4" s="5"/>
      <c r="S4" s="5"/>
      <c r="T4" s="5"/>
      <c r="U4" s="5"/>
      <c r="V4" s="5"/>
    </row>
    <row r="5" spans="2:22" x14ac:dyDescent="0.25">
      <c r="B5" s="4">
        <v>1294.61056839975</v>
      </c>
      <c r="C5" s="4">
        <v>41.8406649909926</v>
      </c>
      <c r="D5" s="4">
        <v>11.650307893753</v>
      </c>
      <c r="E5" s="5">
        <v>670.93315278182297</v>
      </c>
      <c r="F5" s="5">
        <v>23.104074526056401</v>
      </c>
      <c r="G5" s="5">
        <v>11.5775046348571</v>
      </c>
      <c r="H5" s="4">
        <v>452.90528389016202</v>
      </c>
      <c r="I5" s="4">
        <v>15.0143822234905</v>
      </c>
      <c r="J5" s="4">
        <v>11.707543134689301</v>
      </c>
      <c r="K5" s="5">
        <v>12.057505130767799</v>
      </c>
      <c r="L5" s="5">
        <v>2.5488516330603002</v>
      </c>
      <c r="M5" s="5">
        <v>12.1058855056762</v>
      </c>
      <c r="N5" s="5">
        <v>8.6164836784218899</v>
      </c>
      <c r="O5" s="5">
        <v>2.39237663692712</v>
      </c>
      <c r="P5" s="5">
        <v>12.5410010814666</v>
      </c>
      <c r="Q5" s="5"/>
      <c r="R5" s="5"/>
      <c r="S5" s="5"/>
      <c r="T5" s="5"/>
      <c r="U5" s="5"/>
      <c r="V5" s="5"/>
    </row>
    <row r="6" spans="2:22" x14ac:dyDescent="0.25">
      <c r="B6" s="4">
        <v>1289.0184630184999</v>
      </c>
      <c r="C6" s="4">
        <v>41.622930606020802</v>
      </c>
      <c r="D6" s="4">
        <v>11.7906243801116</v>
      </c>
      <c r="E6" s="5">
        <v>671.16566533489095</v>
      </c>
      <c r="F6" s="5">
        <v>23.600132749285098</v>
      </c>
      <c r="G6" s="5">
        <v>11.659604072570801</v>
      </c>
      <c r="H6" s="4">
        <v>382.52379452736102</v>
      </c>
      <c r="I6" s="4">
        <v>14.509195905931101</v>
      </c>
      <c r="J6" s="4">
        <v>11.6776049137115</v>
      </c>
      <c r="K6" s="5">
        <v>7.5331515490260204</v>
      </c>
      <c r="L6" s="5">
        <v>2.3080679106657098</v>
      </c>
      <c r="M6" s="5">
        <v>11.7908341884613</v>
      </c>
      <c r="N6" s="5">
        <v>9.3580003831549003</v>
      </c>
      <c r="O6" s="5">
        <v>1.8491858103760901</v>
      </c>
      <c r="P6" s="5">
        <v>12.6727230548858</v>
      </c>
      <c r="Q6" s="5"/>
      <c r="R6" s="5"/>
      <c r="S6" s="5"/>
      <c r="T6" s="5"/>
      <c r="U6" s="5"/>
      <c r="V6" s="5"/>
    </row>
    <row r="7" spans="2:22" x14ac:dyDescent="0.25">
      <c r="B7" s="4">
        <v>1296.2356591640801</v>
      </c>
      <c r="C7" s="4">
        <v>41.8761359103909</v>
      </c>
      <c r="D7" s="4">
        <v>11.498032569885201</v>
      </c>
      <c r="E7" s="5">
        <v>708.34939001939097</v>
      </c>
      <c r="F7" s="5">
        <v>24.184761438753998</v>
      </c>
      <c r="G7" s="5">
        <v>11.661856651306101</v>
      </c>
      <c r="H7" s="4">
        <v>447.07443383220698</v>
      </c>
      <c r="I7" s="4">
        <v>15.6069913344946</v>
      </c>
      <c r="J7" s="4">
        <v>11.606946945190399</v>
      </c>
      <c r="K7" s="5">
        <v>9.4122964525554504</v>
      </c>
      <c r="L7" s="5">
        <v>0.97370814509023795</v>
      </c>
      <c r="M7" s="5">
        <v>11.7539100646972</v>
      </c>
      <c r="N7" s="5">
        <v>6.6513361881346897</v>
      </c>
      <c r="O7" s="5">
        <v>2.4394343379781098</v>
      </c>
      <c r="P7" s="5">
        <v>12.7637286186218</v>
      </c>
      <c r="Q7" s="5"/>
      <c r="R7" s="5"/>
      <c r="S7" s="5"/>
      <c r="T7" s="5"/>
      <c r="U7" s="5"/>
      <c r="V7" s="5"/>
    </row>
    <row r="8" spans="2:22" x14ac:dyDescent="0.25">
      <c r="B8" s="4">
        <v>1289.0184630184999</v>
      </c>
      <c r="C8" s="4">
        <v>41.622930606020802</v>
      </c>
      <c r="D8" s="4">
        <v>11.680851459503099</v>
      </c>
      <c r="E8" s="5">
        <v>11.661856651306101</v>
      </c>
      <c r="F8" s="5">
        <v>23.650421254514399</v>
      </c>
      <c r="G8" s="5">
        <v>11.6667003631591</v>
      </c>
      <c r="H8" s="4">
        <v>442.05657317955303</v>
      </c>
      <c r="I8" s="4">
        <v>15.161364429356199</v>
      </c>
      <c r="J8" s="4">
        <v>11.557378768920801</v>
      </c>
      <c r="K8" s="5">
        <v>11.7908341884613</v>
      </c>
      <c r="L8" s="5">
        <v>2.0911466787725699</v>
      </c>
      <c r="M8" s="5">
        <v>11.981241464614801</v>
      </c>
      <c r="N8" s="5">
        <v>8.5318505891228398</v>
      </c>
      <c r="O8" s="5">
        <v>2.2158730862496099</v>
      </c>
      <c r="P8" s="5">
        <v>12.6539177894592</v>
      </c>
      <c r="Q8" s="5"/>
      <c r="R8" s="5"/>
      <c r="S8" s="5"/>
      <c r="T8" s="5"/>
      <c r="U8" s="5"/>
      <c r="V8" s="5"/>
    </row>
    <row r="9" spans="2:22" x14ac:dyDescent="0.25">
      <c r="B9" s="4"/>
      <c r="C9" s="4"/>
      <c r="D9" s="4"/>
      <c r="E9" s="5"/>
      <c r="F9" s="5"/>
      <c r="G9" s="5"/>
      <c r="H9" s="4"/>
      <c r="I9" s="4"/>
      <c r="J9" s="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2:22" x14ac:dyDescent="0.25">
      <c r="B10" s="4"/>
      <c r="C10" s="4"/>
      <c r="D10" s="4"/>
      <c r="E10" s="5"/>
      <c r="F10" s="5"/>
      <c r="G10" s="5"/>
      <c r="H10" s="4"/>
      <c r="I10" s="4"/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2:22" x14ac:dyDescent="0.25">
      <c r="B11" s="4"/>
      <c r="C11" s="4"/>
      <c r="D11" s="4"/>
      <c r="E11" s="5"/>
      <c r="F11" s="5"/>
      <c r="G11" s="5"/>
      <c r="H11" s="4"/>
      <c r="I11" s="4"/>
      <c r="J11" s="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2:22" x14ac:dyDescent="0.25">
      <c r="B12" s="4"/>
      <c r="C12" s="4"/>
      <c r="D12" s="4"/>
      <c r="E12" s="5"/>
      <c r="F12" s="5"/>
      <c r="G12" s="5"/>
      <c r="H12" s="4"/>
      <c r="I12" s="4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2:22" x14ac:dyDescent="0.25">
      <c r="B13" s="4"/>
      <c r="C13" s="4"/>
      <c r="D13" s="4"/>
      <c r="E13" s="5"/>
      <c r="F13" s="5"/>
      <c r="G13" s="5"/>
      <c r="H13" s="4"/>
      <c r="I13" s="4"/>
      <c r="J13" s="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2:22" x14ac:dyDescent="0.25">
      <c r="B14" s="7"/>
      <c r="C14" s="7"/>
      <c r="D14" s="7"/>
    </row>
    <row r="15" spans="2:22" x14ac:dyDescent="0.25">
      <c r="B15" s="53" t="s">
        <v>39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21"/>
    </row>
    <row r="16" spans="2:22" x14ac:dyDescent="0.25">
      <c r="B16" s="36" t="s">
        <v>19</v>
      </c>
      <c r="C16" s="37"/>
      <c r="D16" s="38"/>
      <c r="E16" s="36" t="s">
        <v>21</v>
      </c>
      <c r="F16" s="37"/>
      <c r="G16" s="38"/>
      <c r="H16" s="32" t="s">
        <v>22</v>
      </c>
      <c r="I16" s="33"/>
      <c r="J16" s="34"/>
      <c r="K16" s="54" t="s">
        <v>16</v>
      </c>
      <c r="L16" s="54"/>
      <c r="M16" s="54"/>
      <c r="N16" s="54" t="s">
        <v>37</v>
      </c>
      <c r="O16" s="54"/>
      <c r="P16" s="54"/>
      <c r="Q16" s="54" t="s">
        <v>38</v>
      </c>
      <c r="R16" s="54"/>
      <c r="S16" s="54"/>
      <c r="T16" s="54" t="s">
        <v>31</v>
      </c>
      <c r="U16" s="54"/>
      <c r="V16" s="54"/>
    </row>
    <row r="17" spans="2:22" ht="45" x14ac:dyDescent="0.25">
      <c r="B17" s="2" t="s">
        <v>20</v>
      </c>
      <c r="C17" s="2" t="s">
        <v>9</v>
      </c>
      <c r="D17" s="23" t="s">
        <v>30</v>
      </c>
      <c r="E17" s="2" t="s">
        <v>20</v>
      </c>
      <c r="F17" s="2" t="s">
        <v>9</v>
      </c>
      <c r="G17" s="23" t="s">
        <v>30</v>
      </c>
      <c r="H17" s="8" t="s">
        <v>20</v>
      </c>
      <c r="I17" s="8" t="s">
        <v>9</v>
      </c>
      <c r="J17" s="23" t="s">
        <v>30</v>
      </c>
      <c r="K17" s="8" t="s">
        <v>20</v>
      </c>
      <c r="L17" s="8" t="s">
        <v>9</v>
      </c>
      <c r="M17" s="23" t="s">
        <v>30</v>
      </c>
      <c r="N17" s="8" t="s">
        <v>20</v>
      </c>
      <c r="O17" s="8" t="s">
        <v>9</v>
      </c>
      <c r="P17" s="23" t="s">
        <v>30</v>
      </c>
      <c r="Q17" s="8" t="s">
        <v>20</v>
      </c>
      <c r="R17" s="8" t="s">
        <v>9</v>
      </c>
      <c r="S17" s="23" t="s">
        <v>30</v>
      </c>
      <c r="T17" s="8" t="s">
        <v>20</v>
      </c>
      <c r="U17" s="8" t="s">
        <v>9</v>
      </c>
      <c r="V17" s="23" t="s">
        <v>30</v>
      </c>
    </row>
    <row r="18" spans="2:22" x14ac:dyDescent="0.25">
      <c r="B18" s="4">
        <v>3148.1656097576601</v>
      </c>
      <c r="C18" s="4">
        <v>101.370852177266</v>
      </c>
      <c r="D18" s="4">
        <v>11.349320650100699</v>
      </c>
      <c r="E18" s="5">
        <v>59.939718548351003</v>
      </c>
      <c r="F18" s="5">
        <v>2.8714548974467702</v>
      </c>
      <c r="G18" s="5">
        <v>11.4287197589874</v>
      </c>
      <c r="H18" s="4">
        <v>10.325995288497399</v>
      </c>
      <c r="I18" s="4">
        <v>1.55053510934903</v>
      </c>
      <c r="J18" s="4">
        <v>11.8249926567077</v>
      </c>
      <c r="K18" s="5">
        <v>119.256302244765</v>
      </c>
      <c r="L18" s="5">
        <v>4.0501513115032699</v>
      </c>
      <c r="M18" s="5">
        <v>11.631165742874099</v>
      </c>
      <c r="N18" s="5">
        <v>109.057293766711</v>
      </c>
      <c r="O18" s="5">
        <v>4.2055400842948201</v>
      </c>
      <c r="P18" s="5">
        <v>11.652021408081</v>
      </c>
      <c r="Q18" s="5"/>
      <c r="R18" s="5"/>
      <c r="S18" s="5"/>
      <c r="T18" s="5"/>
      <c r="U18" s="5"/>
      <c r="V18" s="5"/>
    </row>
    <row r="19" spans="2:22" x14ac:dyDescent="0.25">
      <c r="B19" s="4">
        <v>3136.4726416762201</v>
      </c>
      <c r="C19" s="4">
        <v>101.013057142517</v>
      </c>
      <c r="D19" s="4">
        <v>11.4921865463256</v>
      </c>
      <c r="E19" s="5">
        <v>117.17191609744501</v>
      </c>
      <c r="F19" s="5">
        <v>4.4313448497848</v>
      </c>
      <c r="G19" s="5">
        <v>11.4343502521514</v>
      </c>
      <c r="H19" s="4">
        <v>53.787521585037098</v>
      </c>
      <c r="I19" s="4">
        <v>2.5686537043532498</v>
      </c>
      <c r="J19" s="4">
        <v>11.736212730407701</v>
      </c>
      <c r="K19" s="5">
        <v>91.182858257015695</v>
      </c>
      <c r="L19" s="5">
        <v>3.3550519300816402</v>
      </c>
      <c r="M19" s="5">
        <v>11.7357194423675</v>
      </c>
      <c r="N19" s="5"/>
      <c r="O19" s="5"/>
      <c r="P19" s="5"/>
      <c r="Q19" s="5"/>
      <c r="R19" s="5"/>
      <c r="S19" s="5"/>
      <c r="T19" s="5"/>
      <c r="U19" s="5"/>
      <c r="V19" s="5"/>
    </row>
    <row r="20" spans="2:22" x14ac:dyDescent="0.25">
      <c r="B20" s="4">
        <v>3223.9336295605399</v>
      </c>
      <c r="C20" s="4">
        <v>103.784368659451</v>
      </c>
      <c r="D20" s="4">
        <v>11.4146075248718</v>
      </c>
      <c r="E20" s="5">
        <v>59.934697645427597</v>
      </c>
      <c r="F20" s="5">
        <v>2.85980873415342</v>
      </c>
      <c r="G20" s="5">
        <v>11.333469867706199</v>
      </c>
      <c r="H20" s="4">
        <v>96.3021034335286</v>
      </c>
      <c r="I20" s="4">
        <v>3.4612446777092001</v>
      </c>
      <c r="J20" s="4">
        <v>11.661410093307399</v>
      </c>
      <c r="K20" s="5">
        <v>97.9758719182107</v>
      </c>
      <c r="L20" s="5">
        <v>3.4788745442326801</v>
      </c>
      <c r="M20" s="5">
        <v>11.722119808197</v>
      </c>
      <c r="N20" s="5"/>
      <c r="O20" s="5"/>
      <c r="P20" s="5"/>
      <c r="Q20" s="5"/>
      <c r="R20" s="5"/>
      <c r="S20" s="5"/>
      <c r="T20" s="5"/>
      <c r="U20" s="5"/>
      <c r="V20" s="5"/>
    </row>
    <row r="21" spans="2:22" x14ac:dyDescent="0.25">
      <c r="B21" s="4">
        <v>3176.5909950571599</v>
      </c>
      <c r="C21" s="4">
        <v>102.31930338011099</v>
      </c>
      <c r="D21" s="4">
        <v>11.3907375335693</v>
      </c>
      <c r="E21" s="5">
        <v>90.807082499348098</v>
      </c>
      <c r="F21" s="5">
        <v>3.33094641325548</v>
      </c>
      <c r="G21" s="5">
        <v>11.471031188964799</v>
      </c>
      <c r="H21" s="4">
        <v>91.015108259858593</v>
      </c>
      <c r="I21" s="4">
        <v>3.4548550407023599</v>
      </c>
      <c r="J21" s="4">
        <v>11.6886942386627</v>
      </c>
      <c r="K21" s="5">
        <v>93.182364217165599</v>
      </c>
      <c r="L21" s="5">
        <v>3.3661628055310602</v>
      </c>
      <c r="M21" s="5">
        <v>11.7503917217254</v>
      </c>
      <c r="N21" s="5"/>
      <c r="O21" s="5"/>
      <c r="P21" s="5"/>
      <c r="Q21" s="5"/>
      <c r="R21" s="5"/>
      <c r="S21" s="5"/>
      <c r="T21" s="5"/>
      <c r="U21" s="5"/>
      <c r="V21" s="5"/>
    </row>
    <row r="22" spans="2:22" x14ac:dyDescent="0.25">
      <c r="B22" s="4">
        <v>3205.8088725635798</v>
      </c>
      <c r="C22" s="4">
        <v>103.23590755927199</v>
      </c>
      <c r="D22" s="4">
        <v>11.27503657341</v>
      </c>
      <c r="E22" s="5">
        <v>50.5762968786741</v>
      </c>
      <c r="F22" s="5">
        <v>2.2407280618843299</v>
      </c>
      <c r="G22" s="5">
        <v>11.491828918456999</v>
      </c>
      <c r="H22" s="4">
        <v>88.995976238619207</v>
      </c>
      <c r="I22" s="4">
        <v>3.3984125362167399</v>
      </c>
      <c r="J22" s="4">
        <v>11.668272495269701</v>
      </c>
      <c r="K22" s="5">
        <v>98.761617243212299</v>
      </c>
      <c r="L22" s="5">
        <v>3.5556758317575898</v>
      </c>
      <c r="M22" s="5">
        <v>11.8244853019714</v>
      </c>
      <c r="N22" s="5"/>
      <c r="O22" s="5"/>
      <c r="P22" s="5"/>
      <c r="Q22" s="5"/>
      <c r="R22" s="5"/>
      <c r="S22" s="5"/>
      <c r="T22" s="5"/>
      <c r="U22" s="5"/>
      <c r="V22" s="5"/>
    </row>
    <row r="23" spans="2:22" x14ac:dyDescent="0.25">
      <c r="B23" s="4"/>
      <c r="C23" s="4"/>
      <c r="D23" s="4"/>
      <c r="E23" s="5"/>
      <c r="F23" s="5"/>
      <c r="G23" s="5"/>
      <c r="H23" s="4">
        <v>112.84872236471</v>
      </c>
      <c r="I23" s="4">
        <v>4.2898188841504901</v>
      </c>
      <c r="J23" s="4">
        <v>11.5611891746521</v>
      </c>
      <c r="K23" s="5">
        <v>78.319907660454604</v>
      </c>
      <c r="L23" s="5">
        <v>3.4998823088996298</v>
      </c>
      <c r="M23" s="5">
        <v>11.871711730956999</v>
      </c>
      <c r="N23" s="5"/>
      <c r="O23" s="5"/>
      <c r="P23" s="5"/>
      <c r="Q23" s="5"/>
      <c r="R23" s="5"/>
      <c r="S23" s="5"/>
      <c r="T23" s="5"/>
      <c r="U23" s="5"/>
      <c r="V23" s="5"/>
    </row>
    <row r="24" spans="2:22" x14ac:dyDescent="0.25">
      <c r="B24" s="4"/>
      <c r="C24" s="4"/>
      <c r="D24" s="4"/>
      <c r="E24" s="5"/>
      <c r="F24" s="5"/>
      <c r="G24" s="5"/>
      <c r="H24" s="4"/>
      <c r="I24" s="4"/>
      <c r="J24" s="4"/>
      <c r="K24" s="5">
        <v>91.214004593635707</v>
      </c>
      <c r="L24" s="5">
        <v>3.7516547356340801</v>
      </c>
      <c r="M24" s="5">
        <v>11.7090663909912</v>
      </c>
      <c r="N24" s="5"/>
      <c r="O24" s="5"/>
      <c r="P24" s="5"/>
      <c r="Q24" s="5"/>
      <c r="R24" s="5"/>
      <c r="S24" s="5"/>
      <c r="T24" s="5"/>
      <c r="U24" s="5"/>
      <c r="V24" s="5"/>
    </row>
    <row r="25" spans="2:22" x14ac:dyDescent="0.25">
      <c r="B25" s="4"/>
      <c r="C25" s="4"/>
      <c r="D25" s="4"/>
      <c r="E25" s="5"/>
      <c r="F25" s="5"/>
      <c r="G25" s="5"/>
      <c r="H25" s="4"/>
      <c r="I25" s="4"/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2:22" x14ac:dyDescent="0.25">
      <c r="B26" s="4"/>
      <c r="C26" s="4"/>
      <c r="D26" s="4"/>
      <c r="E26" s="5"/>
      <c r="F26" s="5"/>
      <c r="G26" s="5"/>
      <c r="H26" s="4"/>
      <c r="I26" s="4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2:22" x14ac:dyDescent="0.25">
      <c r="B27" s="4"/>
      <c r="C27" s="4"/>
      <c r="D27" s="4"/>
      <c r="E27" s="5"/>
      <c r="F27" s="5"/>
      <c r="G27" s="5"/>
      <c r="H27" s="4"/>
      <c r="I27" s="4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9" spans="2:22" x14ac:dyDescent="0.25">
      <c r="B29" s="53" t="s">
        <v>40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21"/>
    </row>
    <row r="30" spans="2:22" x14ac:dyDescent="0.25">
      <c r="B30" s="36" t="s">
        <v>19</v>
      </c>
      <c r="C30" s="37"/>
      <c r="D30" s="38"/>
      <c r="E30" s="36" t="s">
        <v>21</v>
      </c>
      <c r="F30" s="37"/>
      <c r="G30" s="38"/>
      <c r="H30" s="32" t="s">
        <v>22</v>
      </c>
      <c r="I30" s="33"/>
      <c r="J30" s="34"/>
      <c r="K30" s="54" t="s">
        <v>16</v>
      </c>
      <c r="L30" s="54"/>
      <c r="M30" s="54"/>
      <c r="N30" s="54" t="s">
        <v>37</v>
      </c>
      <c r="O30" s="54"/>
      <c r="P30" s="54"/>
      <c r="Q30" s="54" t="s">
        <v>38</v>
      </c>
      <c r="R30" s="54"/>
      <c r="S30" s="54"/>
      <c r="T30" s="54" t="s">
        <v>31</v>
      </c>
      <c r="U30" s="54"/>
      <c r="V30" s="54"/>
    </row>
    <row r="31" spans="2:22" ht="45" x14ac:dyDescent="0.25">
      <c r="B31" s="2" t="s">
        <v>20</v>
      </c>
      <c r="C31" s="2" t="s">
        <v>9</v>
      </c>
      <c r="D31" s="23" t="s">
        <v>30</v>
      </c>
      <c r="E31" s="2" t="s">
        <v>20</v>
      </c>
      <c r="F31" s="2" t="s">
        <v>9</v>
      </c>
      <c r="G31" s="23" t="s">
        <v>30</v>
      </c>
      <c r="H31" s="8" t="s">
        <v>20</v>
      </c>
      <c r="I31" s="8" t="s">
        <v>9</v>
      </c>
      <c r="J31" s="23" t="s">
        <v>30</v>
      </c>
      <c r="K31" s="8" t="s">
        <v>20</v>
      </c>
      <c r="L31" s="8" t="s">
        <v>9</v>
      </c>
      <c r="M31" s="23" t="s">
        <v>30</v>
      </c>
      <c r="N31" s="8" t="s">
        <v>20</v>
      </c>
      <c r="O31" s="8" t="s">
        <v>9</v>
      </c>
      <c r="P31" s="23" t="s">
        <v>30</v>
      </c>
      <c r="Q31" s="8" t="s">
        <v>20</v>
      </c>
      <c r="R31" s="8" t="s">
        <v>9</v>
      </c>
      <c r="S31" s="23" t="s">
        <v>30</v>
      </c>
      <c r="T31" s="8" t="s">
        <v>20</v>
      </c>
      <c r="U31" s="8" t="s">
        <v>9</v>
      </c>
      <c r="V31" s="23" t="s">
        <v>30</v>
      </c>
    </row>
    <row r="32" spans="2:22" x14ac:dyDescent="0.25">
      <c r="B32" s="4">
        <v>345.21337319137598</v>
      </c>
      <c r="C32" s="4">
        <v>11.1560754052009</v>
      </c>
      <c r="D32" s="4">
        <v>11.377435445785499</v>
      </c>
      <c r="E32" s="5">
        <v>38.513262923581003</v>
      </c>
      <c r="F32" s="5">
        <v>1.63046856597419</v>
      </c>
      <c r="G32" s="5">
        <v>11.498995065689</v>
      </c>
      <c r="H32" s="4">
        <v>38.875082820136598</v>
      </c>
      <c r="I32" s="4">
        <v>1.67226589223227</v>
      </c>
      <c r="J32" s="4">
        <v>11.604145526885899</v>
      </c>
      <c r="K32" s="5">
        <v>36.9453749198764</v>
      </c>
      <c r="L32" s="5">
        <v>1.5478539695145099</v>
      </c>
      <c r="M32" s="5">
        <v>11.7257986068725</v>
      </c>
      <c r="N32" s="5"/>
      <c r="O32" s="5"/>
      <c r="P32" s="5"/>
      <c r="Q32" s="5"/>
      <c r="R32" s="5"/>
      <c r="S32" s="5"/>
      <c r="T32" s="5"/>
      <c r="U32" s="5"/>
      <c r="V32" s="5"/>
    </row>
    <row r="33" spans="2:22" x14ac:dyDescent="0.25">
      <c r="B33" s="4">
        <v>345.14754238117803</v>
      </c>
      <c r="C33" s="4">
        <v>11.256697300114</v>
      </c>
      <c r="D33" s="4">
        <v>11.487327337265</v>
      </c>
      <c r="E33" s="5">
        <v>39.154638611102001</v>
      </c>
      <c r="F33" s="5">
        <v>1.6396369165567799</v>
      </c>
      <c r="G33" s="5">
        <v>11.6167652606964</v>
      </c>
      <c r="H33" s="4">
        <v>36.967245682120897</v>
      </c>
      <c r="I33" s="4">
        <v>1.55166069803561</v>
      </c>
      <c r="J33" s="4">
        <v>11.7412493228912</v>
      </c>
      <c r="K33" s="5">
        <v>37.639439251880802</v>
      </c>
      <c r="L33" s="5">
        <v>1.5486966628866801</v>
      </c>
      <c r="M33" s="5">
        <v>11.6624176502227</v>
      </c>
      <c r="N33" s="5"/>
      <c r="O33" s="5"/>
      <c r="P33" s="5"/>
      <c r="Q33" s="5"/>
      <c r="R33" s="5"/>
      <c r="S33" s="5"/>
      <c r="T33" s="5"/>
      <c r="U33" s="5"/>
      <c r="V33" s="5"/>
    </row>
    <row r="34" spans="2:22" x14ac:dyDescent="0.25">
      <c r="B34" s="4">
        <v>345.21337319137598</v>
      </c>
      <c r="C34" s="4">
        <v>11.1560754052009</v>
      </c>
      <c r="D34" s="4">
        <v>11.3636291027069</v>
      </c>
      <c r="E34" s="5">
        <v>38.934354523328601</v>
      </c>
      <c r="F34" s="5">
        <v>1.63853373966854</v>
      </c>
      <c r="G34" s="5">
        <v>11.6858246326446</v>
      </c>
      <c r="H34" s="4">
        <v>38.916233541762502</v>
      </c>
      <c r="I34" s="4">
        <v>1.66423116261605</v>
      </c>
      <c r="J34" s="4">
        <v>11.1895191669464</v>
      </c>
      <c r="K34" s="5">
        <v>36.841168542412099</v>
      </c>
      <c r="L34" s="5">
        <v>1.5521355529224199</v>
      </c>
      <c r="M34" s="5">
        <v>11.729650735855101</v>
      </c>
      <c r="N34" s="5"/>
      <c r="O34" s="5"/>
      <c r="P34" s="5"/>
      <c r="Q34" s="5"/>
      <c r="R34" s="5"/>
      <c r="S34" s="5"/>
      <c r="T34" s="5"/>
      <c r="U34" s="5"/>
      <c r="V34" s="5"/>
    </row>
    <row r="35" spans="2:22" x14ac:dyDescent="0.25">
      <c r="B35" s="4">
        <v>345.21337319137598</v>
      </c>
      <c r="C35" s="4">
        <v>11.1560754052009</v>
      </c>
      <c r="D35" s="4">
        <v>11.343361377716001</v>
      </c>
      <c r="E35" s="5">
        <v>38.918840343166103</v>
      </c>
      <c r="F35" s="5">
        <v>1.6604856638437699</v>
      </c>
      <c r="G35" s="5">
        <v>11.5199015140533</v>
      </c>
      <c r="H35" s="4">
        <v>38.622678793867102</v>
      </c>
      <c r="I35" s="4">
        <v>1.5938949908242499</v>
      </c>
      <c r="J35" s="4">
        <v>11.554682016372601</v>
      </c>
      <c r="K35" s="5">
        <v>38.984238559721</v>
      </c>
      <c r="L35" s="5">
        <v>1.54911046425938</v>
      </c>
      <c r="M35" s="5">
        <v>11.653014421463</v>
      </c>
      <c r="N35" s="5"/>
      <c r="O35" s="5"/>
      <c r="P35" s="5"/>
      <c r="Q35" s="5"/>
      <c r="R35" s="5"/>
      <c r="S35" s="5"/>
      <c r="T35" s="5"/>
      <c r="U35" s="5"/>
      <c r="V35" s="5"/>
    </row>
    <row r="36" spans="2:22" x14ac:dyDescent="0.25">
      <c r="B36" s="4">
        <v>345.14754238117803</v>
      </c>
      <c r="C36" s="4">
        <v>11.256697300114</v>
      </c>
      <c r="D36" s="4">
        <v>11.3606398105621</v>
      </c>
      <c r="E36" s="5">
        <v>39.0871757822323</v>
      </c>
      <c r="F36" s="5">
        <v>1.55831707509211</v>
      </c>
      <c r="G36" s="5">
        <v>11.5858001708984</v>
      </c>
      <c r="H36" s="4">
        <v>39.015266694157901</v>
      </c>
      <c r="I36" s="4">
        <v>1.6742726763459299</v>
      </c>
      <c r="J36" s="4">
        <v>11.6733767986297</v>
      </c>
      <c r="K36" s="5">
        <v>38.893643657267297</v>
      </c>
      <c r="L36" s="5">
        <v>1.6642311586944201</v>
      </c>
      <c r="M36" s="5">
        <v>11.7134552001953</v>
      </c>
      <c r="N36" s="5"/>
      <c r="O36" s="5"/>
      <c r="P36" s="5"/>
      <c r="Q36" s="5"/>
      <c r="R36" s="5"/>
      <c r="S36" s="5"/>
      <c r="T36" s="5"/>
      <c r="U36" s="5"/>
      <c r="V36" s="5"/>
    </row>
    <row r="37" spans="2:22" x14ac:dyDescent="0.25">
      <c r="B37" s="4"/>
      <c r="C37" s="4"/>
      <c r="D37" s="4"/>
      <c r="E37" s="5"/>
      <c r="F37" s="5"/>
      <c r="G37" s="5"/>
      <c r="H37" s="4">
        <v>37.766138228678699</v>
      </c>
      <c r="I37" s="4">
        <v>1.55007540837292</v>
      </c>
      <c r="J37" s="4">
        <v>11.6366822719573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2:22" x14ac:dyDescent="0.25">
      <c r="B38" s="4"/>
      <c r="C38" s="4"/>
      <c r="D38" s="4"/>
      <c r="E38" s="5"/>
      <c r="F38" s="5"/>
      <c r="G38" s="5"/>
      <c r="H38" s="4">
        <v>38.916233541762502</v>
      </c>
      <c r="I38" s="4">
        <v>1.66423116261605</v>
      </c>
      <c r="J38" s="4">
        <v>11.735893249511699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2:22" x14ac:dyDescent="0.25">
      <c r="B39" s="4"/>
      <c r="C39" s="4"/>
      <c r="D39" s="4"/>
      <c r="E39" s="5"/>
      <c r="F39" s="5"/>
      <c r="G39" s="5"/>
      <c r="H39" s="4"/>
      <c r="I39" s="4"/>
      <c r="J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2:22" x14ac:dyDescent="0.25">
      <c r="B40" s="4"/>
      <c r="C40" s="4"/>
      <c r="D40" s="4"/>
      <c r="E40" s="5"/>
      <c r="F40" s="5"/>
      <c r="G40" s="5"/>
      <c r="H40" s="4"/>
      <c r="I40" s="4"/>
      <c r="J40" s="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2:22" x14ac:dyDescent="0.25">
      <c r="B41" s="4"/>
      <c r="C41" s="4"/>
      <c r="D41" s="4"/>
      <c r="E41" s="5"/>
      <c r="F41" s="5"/>
      <c r="G41" s="5"/>
      <c r="H41" s="4"/>
      <c r="I41" s="4"/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3" spans="2:22" x14ac:dyDescent="0.25">
      <c r="B43" s="53" t="s">
        <v>41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21"/>
    </row>
    <row r="44" spans="2:22" x14ac:dyDescent="0.25">
      <c r="B44" s="36" t="s">
        <v>19</v>
      </c>
      <c r="C44" s="37"/>
      <c r="D44" s="38"/>
      <c r="E44" s="36" t="s">
        <v>21</v>
      </c>
      <c r="F44" s="37"/>
      <c r="G44" s="38"/>
      <c r="H44" s="32" t="s">
        <v>22</v>
      </c>
      <c r="I44" s="33"/>
      <c r="J44" s="34"/>
      <c r="K44" s="54" t="s">
        <v>16</v>
      </c>
      <c r="L44" s="54"/>
      <c r="M44" s="54"/>
      <c r="N44" s="54" t="s">
        <v>37</v>
      </c>
      <c r="O44" s="54"/>
      <c r="P44" s="54"/>
      <c r="Q44" s="54" t="s">
        <v>38</v>
      </c>
      <c r="R44" s="54"/>
      <c r="S44" s="54"/>
      <c r="T44" s="54" t="s">
        <v>31</v>
      </c>
      <c r="U44" s="54"/>
      <c r="V44" s="54"/>
    </row>
    <row r="45" spans="2:22" ht="45" x14ac:dyDescent="0.25">
      <c r="B45" s="2" t="s">
        <v>20</v>
      </c>
      <c r="C45" s="2" t="s">
        <v>9</v>
      </c>
      <c r="D45" s="23" t="s">
        <v>30</v>
      </c>
      <c r="E45" s="2" t="s">
        <v>20</v>
      </c>
      <c r="F45" s="2" t="s">
        <v>9</v>
      </c>
      <c r="G45" s="23" t="s">
        <v>30</v>
      </c>
      <c r="H45" s="8" t="s">
        <v>20</v>
      </c>
      <c r="I45" s="8" t="s">
        <v>9</v>
      </c>
      <c r="J45" s="23" t="s">
        <v>30</v>
      </c>
      <c r="K45" s="8" t="s">
        <v>20</v>
      </c>
      <c r="L45" s="8" t="s">
        <v>9</v>
      </c>
      <c r="M45" s="23" t="s">
        <v>30</v>
      </c>
      <c r="N45" s="8" t="s">
        <v>20</v>
      </c>
      <c r="O45" s="8" t="s">
        <v>9</v>
      </c>
      <c r="P45" s="23" t="s">
        <v>30</v>
      </c>
      <c r="Q45" s="8" t="s">
        <v>20</v>
      </c>
      <c r="R45" s="8" t="s">
        <v>9</v>
      </c>
      <c r="S45" s="23" t="s">
        <v>30</v>
      </c>
      <c r="T45" s="8" t="s">
        <v>20</v>
      </c>
      <c r="U45" s="8" t="s">
        <v>9</v>
      </c>
      <c r="V45" s="23" t="s">
        <v>30</v>
      </c>
    </row>
    <row r="46" spans="2:22" x14ac:dyDescent="0.25">
      <c r="B46" s="4">
        <v>1261.44296531498</v>
      </c>
      <c r="C46" s="4">
        <v>41.440515677445802</v>
      </c>
      <c r="D46" s="4">
        <v>11.526838302612299</v>
      </c>
      <c r="E46" s="5">
        <v>45.443276753298697</v>
      </c>
      <c r="F46" s="5">
        <v>2.8643923142918002</v>
      </c>
      <c r="G46" s="5">
        <v>11.5067465305328</v>
      </c>
      <c r="H46" s="4"/>
      <c r="I46" s="4"/>
      <c r="J46" s="4"/>
      <c r="K46" s="5">
        <v>93.0897561041469</v>
      </c>
      <c r="L46" s="5">
        <v>3.30219451723107</v>
      </c>
      <c r="M46" s="5">
        <v>11.680633068084701</v>
      </c>
      <c r="N46" s="5"/>
      <c r="O46" s="5"/>
      <c r="P46" s="5"/>
      <c r="Q46" s="5"/>
      <c r="R46" s="5"/>
      <c r="S46" s="5"/>
      <c r="T46" s="5"/>
      <c r="U46" s="5"/>
      <c r="V46" s="5"/>
    </row>
    <row r="47" spans="2:22" x14ac:dyDescent="0.25">
      <c r="B47" s="4">
        <v>1258.94720083937</v>
      </c>
      <c r="C47" s="4">
        <v>41.457191832359001</v>
      </c>
      <c r="D47" s="4">
        <v>11.3741781711578</v>
      </c>
      <c r="E47" s="5">
        <v>40.326313836370403</v>
      </c>
      <c r="F47" s="5">
        <v>2.8997169176335298</v>
      </c>
      <c r="G47" s="5">
        <v>11.515213727951</v>
      </c>
      <c r="H47" s="4"/>
      <c r="I47" s="4"/>
      <c r="J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2:22" x14ac:dyDescent="0.25">
      <c r="B48" s="4">
        <v>1272.84100087765</v>
      </c>
      <c r="C48" s="4">
        <v>41.667283778004297</v>
      </c>
      <c r="D48" s="4">
        <v>11.502956390380801</v>
      </c>
      <c r="E48" s="5">
        <v>36.314017141862998</v>
      </c>
      <c r="F48" s="5">
        <v>2.71538576301338</v>
      </c>
      <c r="G48" s="5">
        <v>11.661873579025199</v>
      </c>
      <c r="H48" s="4"/>
      <c r="I48" s="4"/>
      <c r="J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2:22" x14ac:dyDescent="0.25">
      <c r="B49" s="4">
        <v>1262.32532809241</v>
      </c>
      <c r="C49" s="4">
        <v>41.564492786032702</v>
      </c>
      <c r="D49" s="4">
        <v>11.48459815979</v>
      </c>
      <c r="E49" s="5">
        <v>45.442735532121198</v>
      </c>
      <c r="F49" s="5">
        <v>2.8642774224038798</v>
      </c>
      <c r="G49" s="5">
        <v>11.4730393886566</v>
      </c>
      <c r="H49" s="4"/>
      <c r="I49" s="4"/>
      <c r="J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2:22" x14ac:dyDescent="0.25">
      <c r="B50" s="4">
        <v>1257.69151891614</v>
      </c>
      <c r="C50" s="4">
        <v>41.435255079969203</v>
      </c>
      <c r="D50" s="4">
        <v>11.409185409545801</v>
      </c>
      <c r="E50" s="5">
        <v>40.324952635694501</v>
      </c>
      <c r="F50" s="5">
        <v>2.8998394693043799</v>
      </c>
      <c r="G50" s="5">
        <v>11.6635522842407</v>
      </c>
      <c r="H50" s="4"/>
      <c r="I50" s="4"/>
      <c r="J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2:22" x14ac:dyDescent="0.25">
      <c r="B51" s="4"/>
      <c r="C51" s="4"/>
      <c r="D51" s="4"/>
      <c r="E51" s="5"/>
      <c r="F51" s="5"/>
      <c r="G51" s="5"/>
      <c r="H51" s="4"/>
      <c r="I51" s="4"/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2:22" x14ac:dyDescent="0.25">
      <c r="B52" s="4"/>
      <c r="C52" s="4"/>
      <c r="D52" s="4"/>
      <c r="E52" s="5"/>
      <c r="F52" s="5"/>
      <c r="G52" s="5"/>
      <c r="H52" s="4"/>
      <c r="I52" s="4"/>
      <c r="J52" s="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2:22" x14ac:dyDescent="0.25">
      <c r="B53" s="4"/>
      <c r="C53" s="4"/>
      <c r="D53" s="4"/>
      <c r="E53" s="5"/>
      <c r="F53" s="5"/>
      <c r="G53" s="5"/>
      <c r="H53" s="4"/>
      <c r="I53" s="4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2:22" x14ac:dyDescent="0.25">
      <c r="B54" s="4"/>
      <c r="C54" s="4"/>
      <c r="D54" s="4"/>
      <c r="E54" s="5"/>
      <c r="F54" s="5"/>
      <c r="G54" s="5"/>
      <c r="H54" s="4"/>
      <c r="I54" s="4"/>
      <c r="J54" s="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2:22" x14ac:dyDescent="0.25">
      <c r="B55" s="4"/>
      <c r="C55" s="4"/>
      <c r="D55" s="4"/>
      <c r="E55" s="5"/>
      <c r="F55" s="5"/>
      <c r="G55" s="5"/>
      <c r="H55" s="4"/>
      <c r="I55" s="4"/>
      <c r="J55" s="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</sheetData>
  <mergeCells count="32">
    <mergeCell ref="B1:L1"/>
    <mergeCell ref="B2:D2"/>
    <mergeCell ref="E2:G2"/>
    <mergeCell ref="H2:J2"/>
    <mergeCell ref="K2:M2"/>
    <mergeCell ref="N2:P2"/>
    <mergeCell ref="Q2:S2"/>
    <mergeCell ref="T2:V2"/>
    <mergeCell ref="B16:D16"/>
    <mergeCell ref="E16:G16"/>
    <mergeCell ref="H16:J16"/>
    <mergeCell ref="K16:M16"/>
    <mergeCell ref="B15:L15"/>
    <mergeCell ref="N16:P16"/>
    <mergeCell ref="Q16:S16"/>
    <mergeCell ref="T16:V16"/>
    <mergeCell ref="B29:L29"/>
    <mergeCell ref="Q30:S30"/>
    <mergeCell ref="T30:V30"/>
    <mergeCell ref="B43:L43"/>
    <mergeCell ref="B44:D44"/>
    <mergeCell ref="E44:G44"/>
    <mergeCell ref="H44:J44"/>
    <mergeCell ref="K44:M44"/>
    <mergeCell ref="N44:P44"/>
    <mergeCell ref="Q44:S44"/>
    <mergeCell ref="T44:V44"/>
    <mergeCell ref="B30:D30"/>
    <mergeCell ref="E30:G30"/>
    <mergeCell ref="H30:J30"/>
    <mergeCell ref="K30:M30"/>
    <mergeCell ref="N30:P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BC33-D91B-42B9-AA21-9BA30A2BE58A}">
  <dimension ref="A1:Z31"/>
  <sheetViews>
    <sheetView topLeftCell="A3" zoomScale="117" workbookViewId="0">
      <selection activeCell="E32" sqref="E32"/>
    </sheetView>
  </sheetViews>
  <sheetFormatPr defaultColWidth="8.85546875" defaultRowHeight="15" x14ac:dyDescent="0.25"/>
  <cols>
    <col min="3" max="3" width="22.42578125" bestFit="1" customWidth="1"/>
    <col min="6" max="6" width="13" customWidth="1"/>
    <col min="11" max="11" width="10.42578125" bestFit="1" customWidth="1"/>
    <col min="13" max="13" width="9.42578125" bestFit="1" customWidth="1"/>
    <col min="14" max="14" width="8.28515625" bestFit="1" customWidth="1"/>
  </cols>
  <sheetData>
    <row r="1" spans="1:26" ht="75" customHeight="1" x14ac:dyDescent="0.25">
      <c r="A1" s="39" t="s">
        <v>34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3" spans="1:26" ht="60" x14ac:dyDescent="0.25">
      <c r="A3" s="2" t="s">
        <v>6</v>
      </c>
      <c r="B3" s="2" t="s">
        <v>11</v>
      </c>
      <c r="C3" s="2" t="s">
        <v>4</v>
      </c>
      <c r="D3" s="2" t="s">
        <v>2</v>
      </c>
      <c r="E3" s="2" t="s">
        <v>3</v>
      </c>
      <c r="F3" s="2" t="s">
        <v>29</v>
      </c>
      <c r="G3" s="2" t="s">
        <v>0</v>
      </c>
      <c r="H3" s="2" t="s">
        <v>1</v>
      </c>
      <c r="I3" s="2" t="s">
        <v>7</v>
      </c>
      <c r="J3" s="2" t="s">
        <v>8</v>
      </c>
      <c r="K3" s="2" t="s">
        <v>17</v>
      </c>
      <c r="L3" s="2" t="s">
        <v>18</v>
      </c>
      <c r="M3" s="13" t="s">
        <v>10</v>
      </c>
      <c r="N3" s="16" t="s">
        <v>23</v>
      </c>
      <c r="O3" s="2" t="s">
        <v>26</v>
      </c>
    </row>
    <row r="4" spans="1:26" x14ac:dyDescent="0.25">
      <c r="A4" s="41" t="s">
        <v>12</v>
      </c>
      <c r="B4" s="11">
        <v>1</v>
      </c>
      <c r="C4" s="45" t="s">
        <v>35</v>
      </c>
      <c r="D4" s="45">
        <v>1005</v>
      </c>
      <c r="E4" s="45">
        <v>1005</v>
      </c>
      <c r="F4" s="46"/>
      <c r="G4" s="45">
        <v>8</v>
      </c>
      <c r="H4" s="45">
        <v>8</v>
      </c>
      <c r="I4" s="45">
        <v>128</v>
      </c>
      <c r="J4" s="45">
        <v>128</v>
      </c>
      <c r="K4" s="5">
        <f>AVERAGE(DataExp1.2!B4:B13)</f>
        <v>1318.3063529254857</v>
      </c>
      <c r="L4" s="5">
        <f>AVERAGE(DataExp1.2!C4:C13)</f>
        <v>42.578494804591585</v>
      </c>
      <c r="M4" s="5">
        <v>1031.6912470326899</v>
      </c>
      <c r="N4" s="17">
        <v>1.07046421020007E-2</v>
      </c>
      <c r="O4" s="14"/>
    </row>
    <row r="5" spans="1:26" x14ac:dyDescent="0.25">
      <c r="A5" s="42"/>
      <c r="B5" s="6">
        <v>3</v>
      </c>
      <c r="C5" s="43"/>
      <c r="D5" s="43"/>
      <c r="E5" s="43"/>
      <c r="F5" s="47"/>
      <c r="G5" s="43"/>
      <c r="H5" s="43"/>
      <c r="I5" s="43"/>
      <c r="J5" s="43"/>
      <c r="K5" s="5">
        <f>AVERAGE(DataExp1.2!E4:E13)</f>
        <v>553.53793602493806</v>
      </c>
      <c r="L5" s="5">
        <f>AVERAGE(DataExp1.2!F4:F13)</f>
        <v>23.646201326905199</v>
      </c>
      <c r="M5" s="5">
        <v>2037.9507810980799</v>
      </c>
      <c r="N5" s="17">
        <v>2.0295988771096798E-2</v>
      </c>
      <c r="O5" s="14"/>
    </row>
    <row r="6" spans="1:26" x14ac:dyDescent="0.25">
      <c r="A6" s="42"/>
      <c r="B6" s="6">
        <v>5</v>
      </c>
      <c r="C6" s="43"/>
      <c r="D6" s="43"/>
      <c r="E6" s="43"/>
      <c r="F6" s="47"/>
      <c r="G6" s="43"/>
      <c r="H6" s="43"/>
      <c r="I6" s="43"/>
      <c r="J6" s="43"/>
      <c r="K6" s="5">
        <f>AVERAGE(DataExp1.2!H4:H13)</f>
        <v>433.9549506572348</v>
      </c>
      <c r="L6" s="5">
        <f>AVERAGE(DataExp1.2!I4:I13)</f>
        <v>15.18584504945332</v>
      </c>
      <c r="M6" s="5">
        <v>2541.3986197788599</v>
      </c>
      <c r="N6" s="17">
        <v>2.4744345044931799E-2</v>
      </c>
      <c r="O6" s="14"/>
    </row>
    <row r="7" spans="1:26" x14ac:dyDescent="0.25">
      <c r="A7" s="42"/>
      <c r="B7" s="6">
        <v>10</v>
      </c>
      <c r="C7" s="43"/>
      <c r="D7" s="43"/>
      <c r="E7" s="43"/>
      <c r="F7" s="47"/>
      <c r="G7" s="43"/>
      <c r="H7" s="43"/>
      <c r="I7" s="43"/>
      <c r="J7" s="43"/>
      <c r="K7" s="5">
        <f>AVERAGE(DataExp1.2!K4:K13)</f>
        <v>10.838240342377034</v>
      </c>
      <c r="L7" s="5">
        <f>AVERAGE(DataExp1.2!L4:L13)</f>
        <v>2.1474627306391616</v>
      </c>
      <c r="M7" s="5">
        <v>2261.5467674711599</v>
      </c>
      <c r="N7" s="17">
        <v>2.1991732115827198E-2</v>
      </c>
      <c r="O7" s="14"/>
    </row>
    <row r="8" spans="1:26" x14ac:dyDescent="0.25">
      <c r="A8" s="42"/>
      <c r="B8" s="6">
        <v>20</v>
      </c>
      <c r="C8" s="43"/>
      <c r="D8" s="43"/>
      <c r="E8" s="43"/>
      <c r="F8" s="47"/>
      <c r="G8" s="43"/>
      <c r="H8" s="43"/>
      <c r="I8" s="43"/>
      <c r="J8" s="43"/>
      <c r="K8" s="5">
        <f>AVERAGE(DataExp1.2!N4:N13)</f>
        <v>7.8951699494837957</v>
      </c>
      <c r="L8" s="5">
        <f>AVERAGE(DataExp1.2!O4:O13)</f>
        <v>2.1955640750583441</v>
      </c>
      <c r="M8" s="5">
        <v>2901.56320216106</v>
      </c>
      <c r="N8" s="17">
        <v>2.7777792550588001E-2</v>
      </c>
      <c r="O8" s="14"/>
    </row>
    <row r="9" spans="1:26" x14ac:dyDescent="0.25">
      <c r="A9" s="42"/>
      <c r="B9" s="6">
        <v>50</v>
      </c>
      <c r="C9" s="43"/>
      <c r="D9" s="43"/>
      <c r="E9" s="43"/>
      <c r="F9" s="47"/>
      <c r="G9" s="43"/>
      <c r="H9" s="43"/>
      <c r="I9" s="43"/>
      <c r="J9" s="43"/>
      <c r="K9" s="5"/>
      <c r="L9" s="5"/>
      <c r="M9" s="5"/>
      <c r="N9" s="17"/>
      <c r="O9" s="14"/>
    </row>
    <row r="10" spans="1:26" x14ac:dyDescent="0.25">
      <c r="A10" s="42"/>
      <c r="B10" s="6">
        <v>100</v>
      </c>
      <c r="C10" s="43"/>
      <c r="D10" s="43"/>
      <c r="E10" s="43"/>
      <c r="F10" s="47"/>
      <c r="G10" s="43"/>
      <c r="H10" s="43"/>
      <c r="I10" s="43"/>
      <c r="J10" s="43"/>
      <c r="K10" s="5"/>
      <c r="L10" s="5"/>
      <c r="M10" s="5"/>
      <c r="N10" s="17"/>
      <c r="O10" s="14"/>
    </row>
    <row r="11" spans="1:26" x14ac:dyDescent="0.25">
      <c r="A11" s="43" t="s">
        <v>13</v>
      </c>
      <c r="B11" s="3">
        <v>1</v>
      </c>
      <c r="C11" s="43"/>
      <c r="D11" s="43"/>
      <c r="E11" s="43"/>
      <c r="F11" s="47"/>
      <c r="G11" s="43"/>
      <c r="H11" s="43"/>
      <c r="I11" s="43"/>
      <c r="J11" s="43"/>
      <c r="K11" s="4">
        <f>AVERAGE(DataExp1.2!B18:B27)</f>
        <v>3178.1943497230322</v>
      </c>
      <c r="L11" s="4">
        <f>AVERAGE(DataExp1.2!C18:C27)</f>
        <v>102.34469778372339</v>
      </c>
      <c r="M11" s="4">
        <v>142.35263472500199</v>
      </c>
      <c r="N11" s="18">
        <v>0.15901865598749301</v>
      </c>
      <c r="O11" s="4"/>
    </row>
    <row r="12" spans="1:26" x14ac:dyDescent="0.25">
      <c r="A12" s="43"/>
      <c r="B12" s="3">
        <v>3</v>
      </c>
      <c r="C12" s="43"/>
      <c r="D12" s="43"/>
      <c r="E12" s="43"/>
      <c r="F12" s="47"/>
      <c r="G12" s="43"/>
      <c r="H12" s="43"/>
      <c r="I12" s="43"/>
      <c r="J12" s="43"/>
      <c r="K12" s="4">
        <f>AVERAGE(DataExp1.2!E18:E27)</f>
        <v>75.685942333849169</v>
      </c>
      <c r="L12" s="4">
        <f>AVERAGE(DataExp1.2!F18:F27)</f>
        <v>3.1468565913049598</v>
      </c>
      <c r="M12" s="4">
        <v>469.98055340577702</v>
      </c>
      <c r="N12" s="18">
        <v>0.56156655781067499</v>
      </c>
      <c r="O12" s="4"/>
    </row>
    <row r="13" spans="1:26" x14ac:dyDescent="0.25">
      <c r="A13" s="43"/>
      <c r="B13" s="3">
        <v>5</v>
      </c>
      <c r="C13" s="43"/>
      <c r="D13" s="43"/>
      <c r="E13" s="43"/>
      <c r="F13" s="47"/>
      <c r="G13" s="43"/>
      <c r="H13" s="43"/>
      <c r="I13" s="43"/>
      <c r="J13" s="43"/>
      <c r="K13" s="4">
        <f>AVERAGE(DataExp1.2!H18:H27)</f>
        <v>75.545904528375146</v>
      </c>
      <c r="L13" s="4">
        <f>AVERAGE(DataExp1.2!I18:I27)</f>
        <v>3.1205866587468449</v>
      </c>
      <c r="M13" s="4">
        <v>477.62379095227902</v>
      </c>
      <c r="N13" s="18">
        <v>0.57532111708419298</v>
      </c>
      <c r="O13" s="4"/>
    </row>
    <row r="14" spans="1:26" x14ac:dyDescent="0.25">
      <c r="A14" s="43"/>
      <c r="B14" s="3">
        <v>10</v>
      </c>
      <c r="C14" s="43"/>
      <c r="D14" s="43"/>
      <c r="E14" s="43"/>
      <c r="F14" s="47"/>
      <c r="G14" s="43"/>
      <c r="H14" s="43"/>
      <c r="I14" s="43"/>
      <c r="J14" s="43"/>
      <c r="K14" s="4">
        <f>AVERAGE(DataExp1.2!K18:K27)</f>
        <v>95.698989447779951</v>
      </c>
      <c r="L14" s="4">
        <f>AVERAGE(DataExp1.2!L18:L27)</f>
        <v>3.57963620966285</v>
      </c>
      <c r="M14" s="4">
        <v>480.725983020287</v>
      </c>
      <c r="N14" s="18">
        <v>0.57873323315457403</v>
      </c>
      <c r="O14" s="4"/>
    </row>
    <row r="15" spans="1:26" x14ac:dyDescent="0.25">
      <c r="A15" s="43"/>
      <c r="B15" s="3">
        <v>20</v>
      </c>
      <c r="C15" s="43"/>
      <c r="D15" s="43"/>
      <c r="E15" s="43"/>
      <c r="F15" s="47"/>
      <c r="G15" s="43"/>
      <c r="H15" s="43"/>
      <c r="I15" s="43"/>
      <c r="J15" s="43"/>
      <c r="K15" s="4"/>
      <c r="L15" s="4"/>
      <c r="M15" s="4">
        <v>479.01929800970601</v>
      </c>
      <c r="N15" s="18">
        <v>0.57817838930787602</v>
      </c>
      <c r="O15" s="4"/>
    </row>
    <row r="16" spans="1:26" x14ac:dyDescent="0.25">
      <c r="A16" s="43"/>
      <c r="B16" s="3">
        <v>50</v>
      </c>
      <c r="C16" s="43"/>
      <c r="D16" s="43"/>
      <c r="E16" s="43"/>
      <c r="F16" s="47"/>
      <c r="G16" s="43"/>
      <c r="H16" s="43"/>
      <c r="I16" s="43"/>
      <c r="J16" s="43"/>
      <c r="K16" s="4"/>
      <c r="L16" s="4"/>
      <c r="M16" s="4"/>
      <c r="N16" s="18"/>
      <c r="O16" s="4"/>
    </row>
    <row r="17" spans="1:15" x14ac:dyDescent="0.25">
      <c r="A17" s="43"/>
      <c r="B17" s="3">
        <v>100</v>
      </c>
      <c r="C17" s="43"/>
      <c r="D17" s="43"/>
      <c r="E17" s="43"/>
      <c r="F17" s="47"/>
      <c r="G17" s="43"/>
      <c r="H17" s="43"/>
      <c r="I17" s="43"/>
      <c r="J17" s="43"/>
      <c r="K17" s="4"/>
      <c r="L17" s="4"/>
      <c r="M17" s="4"/>
      <c r="N17" s="18"/>
      <c r="O17" s="4"/>
    </row>
    <row r="18" spans="1:15" x14ac:dyDescent="0.25">
      <c r="A18" s="44" t="s">
        <v>14</v>
      </c>
      <c r="B18" s="9">
        <v>1</v>
      </c>
      <c r="C18" s="43"/>
      <c r="D18" s="43"/>
      <c r="E18" s="43"/>
      <c r="F18" s="47"/>
      <c r="G18" s="43"/>
      <c r="H18" s="43"/>
      <c r="I18" s="43"/>
      <c r="J18" s="43"/>
      <c r="K18" s="14">
        <f>AVERAGE(DataExp1.2!B32:B41)</f>
        <v>345.18704086729679</v>
      </c>
      <c r="L18" s="14">
        <f>AVERAGE(DataExp1.2!C32:C41)</f>
        <v>11.196324163166141</v>
      </c>
      <c r="M18" s="14">
        <v>45.632296109617997</v>
      </c>
      <c r="N18" s="19">
        <v>0.38384376025911399</v>
      </c>
      <c r="O18" s="14"/>
    </row>
    <row r="19" spans="1:15" x14ac:dyDescent="0.25">
      <c r="A19" s="44"/>
      <c r="B19" s="9">
        <v>3</v>
      </c>
      <c r="C19" s="43"/>
      <c r="D19" s="43"/>
      <c r="E19" s="43"/>
      <c r="F19" s="47"/>
      <c r="G19" s="43"/>
      <c r="H19" s="43"/>
      <c r="I19" s="43"/>
      <c r="J19" s="43"/>
      <c r="K19" s="14">
        <f>AVERAGE(DataExp1.2!E32:E41)</f>
        <v>38.921654436682005</v>
      </c>
      <c r="L19" s="14">
        <f>AVERAGE(DataExp1.2!F32:F41)</f>
        <v>1.6254883922270777</v>
      </c>
      <c r="M19" s="14">
        <v>54.454426636546202</v>
      </c>
      <c r="N19" s="19">
        <v>0.42563632754408898</v>
      </c>
      <c r="O19" s="14"/>
    </row>
    <row r="20" spans="1:15" x14ac:dyDescent="0.25">
      <c r="A20" s="44"/>
      <c r="B20" s="9">
        <v>5</v>
      </c>
      <c r="C20" s="43"/>
      <c r="D20" s="43"/>
      <c r="E20" s="43"/>
      <c r="F20" s="47"/>
      <c r="G20" s="43"/>
      <c r="H20" s="43"/>
      <c r="I20" s="43"/>
      <c r="J20" s="43"/>
      <c r="K20" s="14"/>
      <c r="L20" s="14"/>
      <c r="M20" s="14"/>
      <c r="N20" s="19"/>
      <c r="O20" s="14"/>
    </row>
    <row r="21" spans="1:15" x14ac:dyDescent="0.25">
      <c r="A21" s="44"/>
      <c r="B21" s="9">
        <v>10</v>
      </c>
      <c r="C21" s="43"/>
      <c r="D21" s="43"/>
      <c r="E21" s="43"/>
      <c r="F21" s="47"/>
      <c r="G21" s="43"/>
      <c r="H21" s="43"/>
      <c r="I21" s="43"/>
      <c r="J21" s="43"/>
      <c r="K21" s="14"/>
      <c r="L21" s="14"/>
      <c r="M21" s="14"/>
      <c r="N21" s="19"/>
      <c r="O21" s="14"/>
    </row>
    <row r="22" spans="1:15" x14ac:dyDescent="0.25">
      <c r="A22" s="44"/>
      <c r="B22" s="9">
        <v>20</v>
      </c>
      <c r="C22" s="43"/>
      <c r="D22" s="43"/>
      <c r="E22" s="43"/>
      <c r="F22" s="47"/>
      <c r="G22" s="43"/>
      <c r="H22" s="43"/>
      <c r="I22" s="43"/>
      <c r="J22" s="43"/>
      <c r="K22" s="14"/>
      <c r="L22" s="14"/>
      <c r="M22" s="14"/>
      <c r="N22" s="19"/>
      <c r="O22" s="14"/>
    </row>
    <row r="23" spans="1:15" x14ac:dyDescent="0.25">
      <c r="A23" s="44"/>
      <c r="B23" s="9">
        <v>50</v>
      </c>
      <c r="C23" s="43"/>
      <c r="D23" s="43"/>
      <c r="E23" s="43"/>
      <c r="F23" s="47"/>
      <c r="G23" s="43"/>
      <c r="H23" s="43"/>
      <c r="I23" s="43"/>
      <c r="J23" s="43"/>
      <c r="K23" s="14"/>
      <c r="L23" s="14"/>
      <c r="M23" s="14"/>
      <c r="N23" s="19"/>
      <c r="O23" s="14"/>
    </row>
    <row r="24" spans="1:15" x14ac:dyDescent="0.25">
      <c r="A24" s="44"/>
      <c r="B24" s="9">
        <v>100</v>
      </c>
      <c r="C24" s="43"/>
      <c r="D24" s="43"/>
      <c r="E24" s="43"/>
      <c r="F24" s="47"/>
      <c r="G24" s="43"/>
      <c r="H24" s="43"/>
      <c r="I24" s="43"/>
      <c r="J24" s="43"/>
      <c r="K24" s="14"/>
      <c r="L24" s="14"/>
      <c r="M24" s="14"/>
      <c r="N24" s="19"/>
      <c r="O24" s="14"/>
    </row>
    <row r="25" spans="1:15" x14ac:dyDescent="0.25">
      <c r="A25" s="43" t="s">
        <v>15</v>
      </c>
      <c r="B25" s="3">
        <v>1</v>
      </c>
      <c r="C25" s="43"/>
      <c r="D25" s="43"/>
      <c r="E25" s="43"/>
      <c r="F25" s="47"/>
      <c r="G25" s="43"/>
      <c r="H25" s="43"/>
      <c r="I25" s="43"/>
      <c r="J25" s="43"/>
      <c r="K25" s="4"/>
      <c r="L25" s="4"/>
      <c r="M25" s="4">
        <v>0.22804703269489901</v>
      </c>
      <c r="N25" s="18">
        <v>1.6157759423183701E-4</v>
      </c>
      <c r="O25" s="4"/>
    </row>
    <row r="26" spans="1:15" x14ac:dyDescent="0.25">
      <c r="A26" s="43"/>
      <c r="B26" s="3">
        <v>3</v>
      </c>
      <c r="C26" s="43"/>
      <c r="D26" s="43"/>
      <c r="E26" s="43"/>
      <c r="F26" s="47"/>
      <c r="G26" s="43"/>
      <c r="H26" s="43"/>
      <c r="I26" s="43"/>
      <c r="J26" s="43"/>
      <c r="K26" s="4"/>
      <c r="L26" s="4"/>
      <c r="M26" s="4">
        <v>0.41259237346931399</v>
      </c>
      <c r="N26" s="18">
        <v>2.92730512989791E-4</v>
      </c>
      <c r="O26" s="4"/>
    </row>
    <row r="27" spans="1:15" x14ac:dyDescent="0.25">
      <c r="A27" s="43"/>
      <c r="B27" s="3">
        <v>5</v>
      </c>
      <c r="C27" s="43"/>
      <c r="D27" s="43"/>
      <c r="E27" s="43"/>
      <c r="F27" s="47"/>
      <c r="G27" s="43"/>
      <c r="H27" s="43"/>
      <c r="I27" s="43"/>
      <c r="J27" s="43"/>
      <c r="K27" s="4"/>
      <c r="L27" s="4"/>
      <c r="M27" s="4"/>
      <c r="N27" s="18"/>
      <c r="O27" s="4"/>
    </row>
    <row r="28" spans="1:15" x14ac:dyDescent="0.25">
      <c r="A28" s="43"/>
      <c r="B28" s="3">
        <v>10</v>
      </c>
      <c r="C28" s="43"/>
      <c r="D28" s="43"/>
      <c r="E28" s="43"/>
      <c r="F28" s="47"/>
      <c r="G28" s="43"/>
      <c r="H28" s="43"/>
      <c r="I28" s="43"/>
      <c r="J28" s="43"/>
      <c r="K28" s="4"/>
      <c r="L28" s="4"/>
      <c r="M28" s="4"/>
      <c r="N28" s="18"/>
      <c r="O28" s="4"/>
    </row>
    <row r="29" spans="1:15" x14ac:dyDescent="0.25">
      <c r="A29" s="43"/>
      <c r="B29" s="3">
        <v>20</v>
      </c>
      <c r="C29" s="43"/>
      <c r="D29" s="43"/>
      <c r="E29" s="43"/>
      <c r="F29" s="47"/>
      <c r="G29" s="43"/>
      <c r="H29" s="43"/>
      <c r="I29" s="43"/>
      <c r="J29" s="43"/>
      <c r="K29" s="4"/>
      <c r="L29" s="4"/>
      <c r="M29" s="4"/>
      <c r="N29" s="18"/>
      <c r="O29" s="4"/>
    </row>
    <row r="30" spans="1:15" x14ac:dyDescent="0.25">
      <c r="A30" s="43"/>
      <c r="B30" s="3">
        <v>50</v>
      </c>
      <c r="C30" s="43"/>
      <c r="D30" s="43"/>
      <c r="E30" s="43"/>
      <c r="F30" s="47"/>
      <c r="G30" s="43"/>
      <c r="H30" s="43"/>
      <c r="I30" s="43"/>
      <c r="J30" s="43"/>
      <c r="K30" s="4"/>
      <c r="L30" s="4"/>
      <c r="M30" s="4"/>
      <c r="N30" s="18"/>
      <c r="O30" s="4"/>
    </row>
    <row r="31" spans="1:15" x14ac:dyDescent="0.25">
      <c r="A31" s="43"/>
      <c r="B31" s="3">
        <v>100</v>
      </c>
      <c r="C31" s="43"/>
      <c r="D31" s="43"/>
      <c r="E31" s="43"/>
      <c r="F31" s="45"/>
      <c r="G31" s="43"/>
      <c r="H31" s="43"/>
      <c r="I31" s="43"/>
      <c r="J31" s="43"/>
      <c r="K31" s="4"/>
      <c r="L31" s="4"/>
      <c r="M31" s="4"/>
      <c r="N31" s="18"/>
      <c r="O31" s="4"/>
    </row>
  </sheetData>
  <mergeCells count="13">
    <mergeCell ref="A11:A17"/>
    <mergeCell ref="A18:A24"/>
    <mergeCell ref="A25:A31"/>
    <mergeCell ref="A1:Z1"/>
    <mergeCell ref="A4:A10"/>
    <mergeCell ref="C4:C31"/>
    <mergeCell ref="D4:D31"/>
    <mergeCell ref="E4:E31"/>
    <mergeCell ref="F4:F31"/>
    <mergeCell ref="G4:G31"/>
    <mergeCell ref="H4:H31"/>
    <mergeCell ref="I4:I31"/>
    <mergeCell ref="J4:J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A095-16D7-4FBB-B206-8C2A6F2CFB60}">
  <dimension ref="B1:BM16"/>
  <sheetViews>
    <sheetView topLeftCell="AL1" zoomScale="115" zoomScaleNormal="115" workbookViewId="0">
      <selection activeCell="C30" sqref="C30"/>
    </sheetView>
  </sheetViews>
  <sheetFormatPr defaultColWidth="8.85546875" defaultRowHeight="15" x14ac:dyDescent="0.25"/>
  <cols>
    <col min="2" max="2" width="9.140625" bestFit="1" customWidth="1"/>
    <col min="3" max="3" width="12" bestFit="1" customWidth="1"/>
    <col min="4" max="4" width="8.140625" bestFit="1" customWidth="1"/>
    <col min="5" max="5" width="12" bestFit="1" customWidth="1"/>
    <col min="6" max="6" width="12.42578125" bestFit="1" customWidth="1"/>
    <col min="7" max="7" width="8.140625" bestFit="1" customWidth="1"/>
    <col min="8" max="8" width="10.28515625" bestFit="1" customWidth="1"/>
    <col min="13" max="13" width="8.140625" bestFit="1" customWidth="1"/>
    <col min="18" max="18" width="9.42578125" bestFit="1" customWidth="1"/>
    <col min="20" max="20" width="8.140625" bestFit="1" customWidth="1"/>
    <col min="51" max="51" width="9.28515625" bestFit="1" customWidth="1"/>
  </cols>
  <sheetData>
    <row r="1" spans="2:65" x14ac:dyDescent="0.25">
      <c r="B1" s="53" t="s">
        <v>25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21"/>
      <c r="R1" s="35" t="s">
        <v>27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I1" s="35" t="s">
        <v>28</v>
      </c>
      <c r="AJ1" s="35"/>
      <c r="AK1" s="35"/>
      <c r="AL1" s="35"/>
      <c r="AM1" s="35"/>
      <c r="AN1" s="35"/>
      <c r="AO1" s="35"/>
      <c r="AP1" s="35"/>
      <c r="AQ1" s="35"/>
      <c r="AR1" s="53"/>
      <c r="AS1" s="53"/>
      <c r="AT1" s="21"/>
      <c r="AY1" s="35" t="s">
        <v>15</v>
      </c>
      <c r="AZ1" s="35"/>
      <c r="BA1" s="35"/>
      <c r="BB1" s="35"/>
      <c r="BC1" s="35"/>
      <c r="BD1" s="35"/>
      <c r="BE1" s="35"/>
      <c r="BF1" s="35"/>
      <c r="BG1" s="35"/>
      <c r="BH1" s="53"/>
      <c r="BI1" s="53"/>
    </row>
    <row r="2" spans="2:65" x14ac:dyDescent="0.25">
      <c r="B2" s="36" t="s">
        <v>19</v>
      </c>
      <c r="C2" s="37"/>
      <c r="D2" s="38"/>
      <c r="E2" s="36" t="s">
        <v>21</v>
      </c>
      <c r="F2" s="37"/>
      <c r="G2" s="38"/>
      <c r="H2" s="32" t="s">
        <v>22</v>
      </c>
      <c r="I2" s="33"/>
      <c r="J2" s="34"/>
      <c r="K2" s="54" t="s">
        <v>16</v>
      </c>
      <c r="L2" s="54"/>
      <c r="M2" s="54"/>
      <c r="N2" s="54" t="s">
        <v>33</v>
      </c>
      <c r="O2" s="54"/>
      <c r="P2" s="54"/>
      <c r="R2" s="36" t="s">
        <v>19</v>
      </c>
      <c r="S2" s="37"/>
      <c r="T2" s="38"/>
      <c r="U2" s="36" t="s">
        <v>21</v>
      </c>
      <c r="V2" s="37"/>
      <c r="W2" s="38"/>
      <c r="X2" s="32" t="s">
        <v>22</v>
      </c>
      <c r="Y2" s="33"/>
      <c r="Z2" s="34"/>
      <c r="AA2" s="54" t="s">
        <v>16</v>
      </c>
      <c r="AB2" s="54"/>
      <c r="AC2" s="54"/>
      <c r="AD2" s="54" t="s">
        <v>33</v>
      </c>
      <c r="AE2" s="54"/>
      <c r="AF2" s="54"/>
      <c r="AG2" s="21"/>
      <c r="AH2" s="21"/>
      <c r="AI2" s="36" t="s">
        <v>19</v>
      </c>
      <c r="AJ2" s="37"/>
      <c r="AK2" s="38"/>
      <c r="AL2" s="36" t="s">
        <v>21</v>
      </c>
      <c r="AM2" s="37"/>
      <c r="AN2" s="38"/>
      <c r="AO2" s="32" t="s">
        <v>22</v>
      </c>
      <c r="AP2" s="33"/>
      <c r="AQ2" s="34"/>
      <c r="AR2" s="54" t="s">
        <v>16</v>
      </c>
      <c r="AS2" s="54"/>
      <c r="AT2" s="54"/>
      <c r="AU2" s="54" t="s">
        <v>33</v>
      </c>
      <c r="AV2" s="54"/>
      <c r="AW2" s="54"/>
      <c r="AY2" s="36" t="s">
        <v>19</v>
      </c>
      <c r="AZ2" s="37"/>
      <c r="BA2" s="38"/>
      <c r="BB2" s="36" t="s">
        <v>21</v>
      </c>
      <c r="BC2" s="37"/>
      <c r="BD2" s="38"/>
      <c r="BE2" s="32" t="s">
        <v>22</v>
      </c>
      <c r="BF2" s="33"/>
      <c r="BG2" s="34"/>
      <c r="BH2" s="54" t="s">
        <v>16</v>
      </c>
      <c r="BI2" s="54"/>
      <c r="BJ2" s="54"/>
      <c r="BK2" s="54" t="s">
        <v>33</v>
      </c>
      <c r="BL2" s="54"/>
      <c r="BM2" s="54"/>
    </row>
    <row r="3" spans="2:65" ht="45" x14ac:dyDescent="0.25">
      <c r="B3" s="2" t="s">
        <v>20</v>
      </c>
      <c r="C3" s="2" t="s">
        <v>9</v>
      </c>
      <c r="D3" s="23" t="s">
        <v>30</v>
      </c>
      <c r="E3" s="2" t="s">
        <v>20</v>
      </c>
      <c r="F3" s="2" t="s">
        <v>9</v>
      </c>
      <c r="G3" s="23" t="s">
        <v>30</v>
      </c>
      <c r="H3" s="8" t="s">
        <v>20</v>
      </c>
      <c r="I3" s="8" t="s">
        <v>9</v>
      </c>
      <c r="J3" s="23" t="s">
        <v>30</v>
      </c>
      <c r="K3" s="8" t="s">
        <v>20</v>
      </c>
      <c r="L3" s="8" t="s">
        <v>9</v>
      </c>
      <c r="M3" s="23" t="s">
        <v>30</v>
      </c>
      <c r="N3" s="8" t="s">
        <v>20</v>
      </c>
      <c r="O3" s="8" t="s">
        <v>9</v>
      </c>
      <c r="P3" s="23" t="s">
        <v>30</v>
      </c>
      <c r="R3" s="2" t="s">
        <v>20</v>
      </c>
      <c r="S3" s="2" t="s">
        <v>9</v>
      </c>
      <c r="T3" s="23" t="s">
        <v>30</v>
      </c>
      <c r="U3" s="2" t="s">
        <v>20</v>
      </c>
      <c r="V3" s="2" t="s">
        <v>9</v>
      </c>
      <c r="W3" s="23" t="s">
        <v>30</v>
      </c>
      <c r="X3" s="8" t="s">
        <v>20</v>
      </c>
      <c r="Y3" s="8" t="s">
        <v>9</v>
      </c>
      <c r="Z3" s="23" t="s">
        <v>30</v>
      </c>
      <c r="AA3" s="8" t="s">
        <v>20</v>
      </c>
      <c r="AB3" s="8" t="s">
        <v>9</v>
      </c>
      <c r="AC3" s="23" t="s">
        <v>30</v>
      </c>
      <c r="AD3" s="8" t="s">
        <v>20</v>
      </c>
      <c r="AE3" s="8" t="s">
        <v>9</v>
      </c>
      <c r="AF3" s="23" t="s">
        <v>30</v>
      </c>
      <c r="AG3" s="24"/>
      <c r="AH3" s="24"/>
      <c r="AI3" s="23" t="s">
        <v>20</v>
      </c>
      <c r="AJ3" s="2" t="s">
        <v>9</v>
      </c>
      <c r="AK3" s="23" t="s">
        <v>30</v>
      </c>
      <c r="AL3" s="2" t="s">
        <v>20</v>
      </c>
      <c r="AM3" s="2" t="s">
        <v>9</v>
      </c>
      <c r="AN3" s="23" t="s">
        <v>30</v>
      </c>
      <c r="AO3" s="8" t="s">
        <v>20</v>
      </c>
      <c r="AP3" s="8" t="s">
        <v>9</v>
      </c>
      <c r="AQ3" s="23" t="s">
        <v>30</v>
      </c>
      <c r="AR3" s="8" t="s">
        <v>20</v>
      </c>
      <c r="AS3" s="8" t="s">
        <v>9</v>
      </c>
      <c r="AT3" s="23" t="s">
        <v>30</v>
      </c>
      <c r="AU3" s="8" t="s">
        <v>20</v>
      </c>
      <c r="AV3" s="8" t="s">
        <v>9</v>
      </c>
      <c r="AW3" s="23" t="s">
        <v>30</v>
      </c>
      <c r="AY3" s="23" t="s">
        <v>20</v>
      </c>
      <c r="AZ3" s="2" t="s">
        <v>9</v>
      </c>
      <c r="BA3" s="23" t="s">
        <v>30</v>
      </c>
      <c r="BB3" s="2" t="s">
        <v>20</v>
      </c>
      <c r="BC3" s="2" t="s">
        <v>9</v>
      </c>
      <c r="BD3" s="23" t="s">
        <v>30</v>
      </c>
      <c r="BE3" s="8" t="s">
        <v>20</v>
      </c>
      <c r="BF3" s="8" t="s">
        <v>9</v>
      </c>
      <c r="BG3" s="23" t="s">
        <v>30</v>
      </c>
      <c r="BH3" s="8" t="s">
        <v>20</v>
      </c>
      <c r="BI3" s="8" t="s">
        <v>9</v>
      </c>
      <c r="BJ3" s="23" t="s">
        <v>30</v>
      </c>
      <c r="BK3" s="8" t="s">
        <v>20</v>
      </c>
      <c r="BL3" s="8" t="s">
        <v>9</v>
      </c>
      <c r="BM3" s="23" t="s">
        <v>30</v>
      </c>
    </row>
    <row r="4" spans="2:65" x14ac:dyDescent="0.25">
      <c r="B4" s="4">
        <v>12.3683837862365</v>
      </c>
      <c r="C4" s="4">
        <v>1.8726504953107099</v>
      </c>
      <c r="D4" s="4">
        <v>0.221721410751342</v>
      </c>
      <c r="E4" s="5">
        <v>6.9113127072582499</v>
      </c>
      <c r="F4" s="5">
        <v>1.1748781142268301</v>
      </c>
      <c r="G4" s="5">
        <v>0.220734357833862</v>
      </c>
      <c r="H4" s="4">
        <v>3.3026618839056798</v>
      </c>
      <c r="I4" s="4">
        <v>0.73814623768129894</v>
      </c>
      <c r="J4" s="4">
        <v>0.154568672180175</v>
      </c>
      <c r="K4" s="5">
        <v>3.1930044244628601</v>
      </c>
      <c r="L4" s="5">
        <v>0.73096760471340905</v>
      </c>
      <c r="M4" s="5">
        <v>0.16689682006835899</v>
      </c>
      <c r="N4" s="5">
        <v>3.0780635470898798</v>
      </c>
      <c r="O4" s="5">
        <v>0.731030795015851</v>
      </c>
      <c r="P4" s="5">
        <v>0.20253992080688399</v>
      </c>
      <c r="R4" s="4">
        <v>25.211133080136999</v>
      </c>
      <c r="S4" s="4">
        <v>3.5527606326478001</v>
      </c>
      <c r="T4" s="4">
        <v>0.209494829177856</v>
      </c>
      <c r="U4" s="5">
        <v>0.93318563680560096</v>
      </c>
      <c r="V4" s="5">
        <v>0.29765195389368498</v>
      </c>
      <c r="W4" s="5">
        <v>0.15252137184143</v>
      </c>
      <c r="X4" s="4">
        <v>2.75682756401357</v>
      </c>
      <c r="Y4" s="4">
        <v>0.61912335363640203</v>
      </c>
      <c r="Z4" s="4">
        <v>0.155660390853881</v>
      </c>
      <c r="AA4" s="14">
        <v>1.09014430206129</v>
      </c>
      <c r="AB4" s="14">
        <v>0.453497463887506</v>
      </c>
      <c r="AC4" s="9">
        <v>0.16643857955932601</v>
      </c>
      <c r="AD4" s="4">
        <v>3.5110351294381599</v>
      </c>
      <c r="AE4" s="4">
        <v>0.73729848313939605</v>
      </c>
      <c r="AF4" s="4">
        <v>0.170168161392211</v>
      </c>
      <c r="AI4" s="4">
        <v>2.0282019718480502</v>
      </c>
      <c r="AJ4" s="4">
        <v>0.37754673426285001</v>
      </c>
      <c r="AK4" s="4">
        <v>0.15384221076965299</v>
      </c>
      <c r="AL4" s="5">
        <v>2.93314349751103</v>
      </c>
      <c r="AM4" s="5">
        <v>0.65213375302212495</v>
      </c>
      <c r="AN4" s="5">
        <v>0.164636850357055</v>
      </c>
      <c r="AO4" s="4">
        <v>3.1835707328913601</v>
      </c>
      <c r="AP4" s="4">
        <v>0.65565129784223597</v>
      </c>
      <c r="AQ4" s="4">
        <v>0.17476344108581501</v>
      </c>
      <c r="AR4" s="5">
        <v>3.0446059739842699</v>
      </c>
      <c r="AS4" s="5">
        <v>0.65226013362701096</v>
      </c>
      <c r="AT4" s="5">
        <v>0.16964745521545399</v>
      </c>
      <c r="AU4" s="4">
        <v>3.02288650520053</v>
      </c>
      <c r="AV4" s="4">
        <v>0.65213375302212495</v>
      </c>
      <c r="AW4" s="4">
        <v>0.15408825874328599</v>
      </c>
      <c r="AY4" s="4">
        <v>23.193891387844602</v>
      </c>
      <c r="AZ4" s="4">
        <v>3.2327058578214101</v>
      </c>
      <c r="BA4" s="4">
        <v>0.19454717636108301</v>
      </c>
      <c r="BB4" s="5">
        <v>2.7808855265908998</v>
      </c>
      <c r="BC4" s="5">
        <v>0.61912335363640203</v>
      </c>
      <c r="BD4" s="5">
        <v>0.19927120208740201</v>
      </c>
      <c r="BE4" s="4">
        <v>2.86829878220958</v>
      </c>
      <c r="BF4" s="4">
        <v>0.651603169091995</v>
      </c>
      <c r="BG4" s="4">
        <v>0.15089440345764099</v>
      </c>
      <c r="BH4" s="5">
        <v>2.81576579443291</v>
      </c>
      <c r="BI4" s="5">
        <v>0.61912335363640203</v>
      </c>
      <c r="BJ4" s="3">
        <v>0.157181501388549</v>
      </c>
      <c r="BK4" s="4">
        <v>2.81576579443291</v>
      </c>
      <c r="BL4" s="4">
        <v>0.61912335363640203</v>
      </c>
      <c r="BM4" s="4">
        <v>0.15600681304931599</v>
      </c>
    </row>
    <row r="5" spans="2:65" x14ac:dyDescent="0.25">
      <c r="B5" s="4">
        <v>13.2415117006289</v>
      </c>
      <c r="C5" s="4">
        <v>2.0159331409525598</v>
      </c>
      <c r="D5" s="4">
        <v>0.19146561622619601</v>
      </c>
      <c r="E5" s="5">
        <v>6.3271322957633096</v>
      </c>
      <c r="F5" s="5">
        <v>1.1748781142268301</v>
      </c>
      <c r="G5" s="5">
        <v>0.17127656936645499</v>
      </c>
      <c r="H5" s="4">
        <v>3.1133274776374198</v>
      </c>
      <c r="I5" s="4">
        <v>0.77858803124468401</v>
      </c>
      <c r="J5" s="4">
        <v>0.15554928779602001</v>
      </c>
      <c r="K5" s="5">
        <v>2.2473291545695799</v>
      </c>
      <c r="L5" s="5">
        <v>0.52590185995767502</v>
      </c>
      <c r="M5" s="5">
        <v>0.16840791702270499</v>
      </c>
      <c r="N5" s="5">
        <v>2.1979186040320799</v>
      </c>
      <c r="O5" s="5">
        <v>0.52590185995767502</v>
      </c>
      <c r="P5" s="5">
        <v>0.16590714454650801</v>
      </c>
      <c r="R5" s="4">
        <v>24.980600430429199</v>
      </c>
      <c r="S5" s="4">
        <v>3.5527606326478001</v>
      </c>
      <c r="T5" s="4">
        <v>0.190010786056518</v>
      </c>
      <c r="U5" s="5">
        <v>1.56849556390634</v>
      </c>
      <c r="V5" s="5">
        <v>0.49800334142918401</v>
      </c>
      <c r="W5" s="5">
        <v>0.148812770843505</v>
      </c>
      <c r="X5" s="4">
        <v>2.7000220325666899</v>
      </c>
      <c r="Y5" s="4">
        <v>0.61909175848517894</v>
      </c>
      <c r="Z5" s="4">
        <v>0.152344465255737</v>
      </c>
      <c r="AA5" s="14">
        <v>3.3726482936691302</v>
      </c>
      <c r="AB5" s="14">
        <v>0.73833322434189697</v>
      </c>
      <c r="AC5" s="9">
        <v>0.162857770919799</v>
      </c>
      <c r="AD5" s="4">
        <v>3.7353311398727702</v>
      </c>
      <c r="AE5" s="4">
        <v>0.74867532182582797</v>
      </c>
      <c r="AF5" s="4">
        <v>0.16232037544250399</v>
      </c>
      <c r="AI5" s="4">
        <v>2.0576101229880499</v>
      </c>
      <c r="AJ5" s="4">
        <v>0.37754673426285001</v>
      </c>
      <c r="AK5" s="4">
        <v>0.143673419952392</v>
      </c>
      <c r="AL5" s="5">
        <v>3.0231717517272201</v>
      </c>
      <c r="AM5" s="5">
        <v>0.65213375302212495</v>
      </c>
      <c r="AN5" s="5">
        <v>0.15351915359497001</v>
      </c>
      <c r="AO5" s="4">
        <v>3.0014742636059601</v>
      </c>
      <c r="AP5" s="4">
        <v>0.65213375302212495</v>
      </c>
      <c r="AQ5" s="4">
        <v>0.18802881240844699</v>
      </c>
      <c r="AR5" s="5">
        <v>3.0732721507638598</v>
      </c>
      <c r="AS5" s="5">
        <v>0.65213375302212495</v>
      </c>
      <c r="AT5" s="5">
        <v>0.164550065994262</v>
      </c>
      <c r="AU5" s="4">
        <v>3.0836909556311598</v>
      </c>
      <c r="AV5" s="4">
        <v>0.65226013362701096</v>
      </c>
      <c r="AW5" s="4">
        <v>0.156248569488525</v>
      </c>
      <c r="AY5" s="4">
        <v>23.194889428617302</v>
      </c>
      <c r="AZ5" s="4">
        <v>3.2327058578214101</v>
      </c>
      <c r="BA5" s="4">
        <v>0.219803571701049</v>
      </c>
      <c r="BB5" s="5">
        <v>2.7808855265908998</v>
      </c>
      <c r="BC5" s="5">
        <v>0.61912335363640203</v>
      </c>
      <c r="BD5" s="5">
        <v>0.199044704437255</v>
      </c>
      <c r="BE5" s="4">
        <v>2.7621839954398899</v>
      </c>
      <c r="BF5" s="4">
        <v>0.61912335363640203</v>
      </c>
      <c r="BG5" s="4">
        <v>0.156813144683837</v>
      </c>
      <c r="BH5" s="5">
        <v>2.7000220325666899</v>
      </c>
      <c r="BI5" s="5">
        <v>0.61909175848517894</v>
      </c>
      <c r="BJ5" s="3">
        <v>0.15541315078735299</v>
      </c>
      <c r="BK5" s="4">
        <v>2.4319525791546099</v>
      </c>
      <c r="BL5" s="4">
        <v>0.61909175848517894</v>
      </c>
      <c r="BM5" s="4">
        <v>0.15285587310790999</v>
      </c>
    </row>
    <row r="6" spans="2:65" x14ac:dyDescent="0.25">
      <c r="B6" s="4">
        <v>12.7295497384731</v>
      </c>
      <c r="C6" s="4">
        <v>1.8726504953107099</v>
      </c>
      <c r="D6" s="4">
        <v>0.19084739685058499</v>
      </c>
      <c r="E6" s="5">
        <v>6.9113127072582499</v>
      </c>
      <c r="F6" s="5">
        <v>1.1748781142268301</v>
      </c>
      <c r="G6" s="5">
        <v>0.22210121154785101</v>
      </c>
      <c r="H6" s="4">
        <v>2.7346711052717798</v>
      </c>
      <c r="I6" s="4">
        <v>0.71530430849540305</v>
      </c>
      <c r="J6" s="4">
        <v>0.15457415580749501</v>
      </c>
      <c r="K6" s="5">
        <v>2.3857348805601899</v>
      </c>
      <c r="L6" s="5">
        <v>0.52590185995767502</v>
      </c>
      <c r="M6" s="5">
        <v>0.166720390319824</v>
      </c>
      <c r="N6" s="5">
        <v>2.5588728672554102</v>
      </c>
      <c r="O6" s="5">
        <v>0.54516515656293696</v>
      </c>
      <c r="P6" s="5">
        <v>0.168056964874267</v>
      </c>
      <c r="R6" s="4">
        <v>25.877777739201498</v>
      </c>
      <c r="S6" s="4">
        <v>3.6278386107376401</v>
      </c>
      <c r="T6" s="4">
        <v>0.21006798744201599</v>
      </c>
      <c r="U6" s="5">
        <v>1.21981001355759</v>
      </c>
      <c r="V6" s="5">
        <v>0.476164558294566</v>
      </c>
      <c r="W6" s="5">
        <v>0.15312433242797799</v>
      </c>
      <c r="X6" s="4">
        <v>2.81576579443291</v>
      </c>
      <c r="Y6" s="4">
        <v>0.61912335363640203</v>
      </c>
      <c r="Z6" s="4">
        <v>0.15786218643188399</v>
      </c>
      <c r="AA6" s="14">
        <v>3.4934558810421401</v>
      </c>
      <c r="AB6" s="14">
        <v>0.74538684185207305</v>
      </c>
      <c r="AC6" s="9">
        <v>0.16499352455139099</v>
      </c>
      <c r="AD6" s="4">
        <v>0.91339993754753002</v>
      </c>
      <c r="AE6" s="4">
        <v>0.29765195389368498</v>
      </c>
      <c r="AF6" s="4">
        <v>0.163552045822143</v>
      </c>
      <c r="AI6" s="4">
        <v>2.0124832402399999</v>
      </c>
      <c r="AJ6" s="4">
        <v>0.37754673426285001</v>
      </c>
      <c r="AK6" s="4">
        <v>0.15831112861633301</v>
      </c>
      <c r="AL6" s="5">
        <v>3.1835707328913601</v>
      </c>
      <c r="AM6" s="5">
        <v>0.65565129784223597</v>
      </c>
      <c r="AN6" s="5">
        <v>0.15638685226440399</v>
      </c>
      <c r="AO6" s="4">
        <v>3.0052609093097602</v>
      </c>
      <c r="AP6" s="4">
        <v>0.65213375302212495</v>
      </c>
      <c r="AQ6" s="4">
        <v>0.1725754737854</v>
      </c>
      <c r="AR6" s="5">
        <v>2.9332438502332301</v>
      </c>
      <c r="AS6" s="5">
        <v>0.65213375302212495</v>
      </c>
      <c r="AT6" s="5">
        <v>0.17924475669860801</v>
      </c>
      <c r="AU6" s="4">
        <v>3.1405529779836701</v>
      </c>
      <c r="AV6" s="4">
        <v>0.65226013362701096</v>
      </c>
      <c r="AW6" s="4">
        <v>0.15193510055541901</v>
      </c>
      <c r="AY6" s="4">
        <v>23.193891387844602</v>
      </c>
      <c r="AZ6" s="4">
        <v>3.2327058578214101</v>
      </c>
      <c r="BA6" s="4">
        <v>0.19832849502563399</v>
      </c>
      <c r="BB6" s="5">
        <v>2.72463940995965</v>
      </c>
      <c r="BC6" s="5">
        <v>0.61909175848517894</v>
      </c>
      <c r="BD6" s="5">
        <v>0.197759389877319</v>
      </c>
      <c r="BE6" s="4">
        <v>2.7000220325666899</v>
      </c>
      <c r="BF6" s="4">
        <v>0.61909175848517894</v>
      </c>
      <c r="BG6" s="4">
        <v>0.15457010269165</v>
      </c>
      <c r="BH6" s="5">
        <v>2.5040360292210102</v>
      </c>
      <c r="BI6" s="5">
        <v>0.61909175848517894</v>
      </c>
      <c r="BJ6" s="3">
        <v>0.15583968162536599</v>
      </c>
      <c r="BK6" s="4">
        <v>2.6282612918328199</v>
      </c>
      <c r="BL6" s="4">
        <v>0.61909175848517894</v>
      </c>
      <c r="BM6" s="4">
        <v>0.15261030197143499</v>
      </c>
    </row>
    <row r="7" spans="2:65" x14ac:dyDescent="0.25">
      <c r="B7" s="4">
        <v>12.5389865562673</v>
      </c>
      <c r="C7" s="4">
        <v>1.8726504953107099</v>
      </c>
      <c r="D7" s="4">
        <v>0.19119834899902299</v>
      </c>
      <c r="E7" s="5">
        <v>6.7915255072482301</v>
      </c>
      <c r="F7" s="5">
        <v>1.23958498392825</v>
      </c>
      <c r="G7" s="5">
        <v>0.219393014907836</v>
      </c>
      <c r="H7" s="4">
        <v>2.4162428022692599</v>
      </c>
      <c r="I7" s="4">
        <v>0.65583691935566202</v>
      </c>
      <c r="J7" s="4">
        <v>0.15564060211181599</v>
      </c>
      <c r="K7" s="5">
        <v>2.34752096550783</v>
      </c>
      <c r="L7" s="5">
        <v>0.52590185995767502</v>
      </c>
      <c r="M7" s="5">
        <v>0.166948556900024</v>
      </c>
      <c r="N7" s="5">
        <v>2.1116838860453901</v>
      </c>
      <c r="O7" s="5">
        <v>0.51982769213536295</v>
      </c>
      <c r="P7" s="5">
        <v>0.17736864089965801</v>
      </c>
      <c r="R7" s="4">
        <v>25.517916091210399</v>
      </c>
      <c r="S7" s="4">
        <v>3.5880446754267301</v>
      </c>
      <c r="T7" s="4">
        <v>0.18972802162170399</v>
      </c>
      <c r="U7" s="5">
        <v>1.24862880176064</v>
      </c>
      <c r="V7" s="5">
        <v>0.476164558294566</v>
      </c>
      <c r="W7" s="5">
        <v>0.151220798492431</v>
      </c>
      <c r="X7" s="4">
        <v>2.7000220325666899</v>
      </c>
      <c r="Y7" s="4">
        <v>0.61909175848517894</v>
      </c>
      <c r="Z7" s="4">
        <v>0.153967380523681</v>
      </c>
      <c r="AA7" s="14">
        <v>0.91566664032214296</v>
      </c>
      <c r="AB7" s="14">
        <v>0.31433419373858101</v>
      </c>
      <c r="AC7" s="9">
        <v>0.16472458839416501</v>
      </c>
      <c r="AD7" s="4">
        <v>3.7362419552777202</v>
      </c>
      <c r="AE7" s="4">
        <v>0.74867532182582797</v>
      </c>
      <c r="AF7" s="4">
        <v>0.16232395172119099</v>
      </c>
      <c r="AI7" s="4">
        <v>1.98733133553576</v>
      </c>
      <c r="AJ7" s="4">
        <v>0.37754673426285001</v>
      </c>
      <c r="AK7" s="4">
        <v>0.150824069976806</v>
      </c>
      <c r="AL7" s="5">
        <v>2.9709094694099698</v>
      </c>
      <c r="AM7" s="5">
        <v>0.65213375302212495</v>
      </c>
      <c r="AN7" s="5">
        <v>0.156632900238037</v>
      </c>
      <c r="AO7" s="4">
        <v>3.1234714223794802</v>
      </c>
      <c r="AP7" s="4">
        <v>0.65226013362701096</v>
      </c>
      <c r="AQ7" s="4">
        <v>0.16536331176757799</v>
      </c>
      <c r="AR7" s="5">
        <v>2.9332438502332301</v>
      </c>
      <c r="AS7" s="5">
        <v>0.65213375302212495</v>
      </c>
      <c r="AT7" s="5">
        <v>0.16520929336547799</v>
      </c>
      <c r="AU7" s="4">
        <v>3.1405529779836701</v>
      </c>
      <c r="AV7" s="4">
        <v>0.65226013362701096</v>
      </c>
      <c r="AW7" s="4">
        <v>0.15193510055541901</v>
      </c>
      <c r="AY7" s="4">
        <v>23.1498230149795</v>
      </c>
      <c r="AZ7" s="4">
        <v>3.2327058578214101</v>
      </c>
      <c r="BA7" s="4">
        <v>0.195574045181274</v>
      </c>
      <c r="BB7" s="5">
        <v>2.8033491030393201</v>
      </c>
      <c r="BC7" s="5">
        <v>0.61912335363640203</v>
      </c>
      <c r="BD7" s="5">
        <v>0.197746276855468</v>
      </c>
      <c r="BE7" s="4">
        <v>2.8275176807600899</v>
      </c>
      <c r="BF7" s="4">
        <v>0.61924973424128604</v>
      </c>
      <c r="BG7" s="4">
        <v>0.154726266860961</v>
      </c>
      <c r="BH7" s="5">
        <v>2.6282612918328199</v>
      </c>
      <c r="BI7" s="5">
        <v>0.61909175848517894</v>
      </c>
      <c r="BJ7" s="3">
        <v>0.149705410003662</v>
      </c>
      <c r="BK7" s="4">
        <v>2.81576579443291</v>
      </c>
      <c r="BL7" s="4">
        <v>0.61912335363640203</v>
      </c>
      <c r="BM7" s="4">
        <v>0.155811786651611</v>
      </c>
    </row>
    <row r="8" spans="2:65" x14ac:dyDescent="0.25">
      <c r="B8" s="4">
        <v>13.397439157339299</v>
      </c>
      <c r="C8" s="4">
        <v>2.06485033383108</v>
      </c>
      <c r="D8" s="4">
        <v>0.18977880477905201</v>
      </c>
      <c r="E8" s="5">
        <v>6.6953422482776901</v>
      </c>
      <c r="F8" s="5">
        <v>1.23958498392825</v>
      </c>
      <c r="G8" s="5">
        <v>0.22022747993469199</v>
      </c>
      <c r="H8" s="4">
        <v>2.8119870809471599</v>
      </c>
      <c r="I8" s="4">
        <v>0.72171675904617405</v>
      </c>
      <c r="J8" s="4">
        <v>0.16279077529907199</v>
      </c>
      <c r="K8" s="5">
        <v>2.4492995431768798</v>
      </c>
      <c r="L8" s="5">
        <v>0.52602824056256203</v>
      </c>
      <c r="M8" s="5">
        <v>0.16912388801574699</v>
      </c>
      <c r="N8" s="5">
        <v>3.1585759703618499</v>
      </c>
      <c r="O8" s="5">
        <v>0.73096760471340905</v>
      </c>
      <c r="P8" s="5">
        <v>0.17199110984802199</v>
      </c>
      <c r="R8" s="4">
        <v>24.0270799281504</v>
      </c>
      <c r="S8" s="4">
        <v>3.40387000531658</v>
      </c>
      <c r="T8" s="4">
        <v>0.19209957122802701</v>
      </c>
      <c r="U8" s="5">
        <v>1.01932374131892</v>
      </c>
      <c r="V8" s="5">
        <v>0.43914552409762703</v>
      </c>
      <c r="W8" s="5">
        <v>0.15029311180114699</v>
      </c>
      <c r="X8" s="4">
        <v>2.72661729890544</v>
      </c>
      <c r="Y8" s="4">
        <v>0.61909175848517894</v>
      </c>
      <c r="Z8" s="4">
        <v>0.15960121154785101</v>
      </c>
      <c r="AA8" s="14">
        <v>3.0801789177004202</v>
      </c>
      <c r="AB8" s="14">
        <v>0.60759643798166596</v>
      </c>
      <c r="AC8" s="9">
        <v>0.161133527755737</v>
      </c>
      <c r="AD8" s="4">
        <v>3.6940440543667901</v>
      </c>
      <c r="AE8" s="4">
        <v>0.74867532182582797</v>
      </c>
      <c r="AF8" s="4">
        <v>0.163506984710693</v>
      </c>
      <c r="AI8" s="4">
        <v>2.0045866890630801</v>
      </c>
      <c r="AJ8" s="4">
        <v>0.37754673426285001</v>
      </c>
      <c r="AK8" s="4">
        <v>0.1446533203125</v>
      </c>
      <c r="AL8" s="5">
        <v>2.8887491003138202</v>
      </c>
      <c r="AM8" s="5">
        <v>0.65213375302212495</v>
      </c>
      <c r="AN8" s="5">
        <v>0.164668083190917</v>
      </c>
      <c r="AO8" s="4">
        <v>3.1300087680066402</v>
      </c>
      <c r="AP8" s="4">
        <v>0.65226013362701096</v>
      </c>
      <c r="AQ8" s="4">
        <v>0.20038580894470201</v>
      </c>
      <c r="AR8" s="5">
        <v>3.0895272691364801</v>
      </c>
      <c r="AS8" s="5">
        <v>0.65226013362701096</v>
      </c>
      <c r="AT8" s="5">
        <v>0.160871982574462</v>
      </c>
      <c r="AU8" s="4">
        <v>3.1234714223794802</v>
      </c>
      <c r="AV8" s="4">
        <v>0.65226013362701096</v>
      </c>
      <c r="AW8" s="4">
        <v>0.15936398506164501</v>
      </c>
      <c r="AY8" s="4">
        <v>23.1542181226413</v>
      </c>
      <c r="AZ8" s="4">
        <v>3.2327058578214101</v>
      </c>
      <c r="BA8" s="4">
        <v>0.158485412597656</v>
      </c>
      <c r="BB8" s="5">
        <v>2.7808855265908998</v>
      </c>
      <c r="BC8" s="5">
        <v>0.61912335363640203</v>
      </c>
      <c r="BD8" s="5">
        <v>0.199626684188842</v>
      </c>
      <c r="BE8" s="4">
        <v>2.72661729890544</v>
      </c>
      <c r="BF8" s="4">
        <v>0.61909175848517894</v>
      </c>
      <c r="BG8" s="4">
        <v>0.15473580360412501</v>
      </c>
      <c r="BH8" s="5">
        <v>2.6282612918328199</v>
      </c>
      <c r="BI8" s="5">
        <v>0.61909175848517894</v>
      </c>
      <c r="BJ8" s="3">
        <v>0.15323472023010201</v>
      </c>
      <c r="BK8" s="4">
        <v>2.7916220620382401</v>
      </c>
      <c r="BL8" s="4">
        <v>0.61912335363640203</v>
      </c>
      <c r="BM8" s="4">
        <v>0.15216517448425201</v>
      </c>
    </row>
    <row r="9" spans="2:65" x14ac:dyDescent="0.25">
      <c r="B9" s="7"/>
      <c r="C9" s="7"/>
      <c r="D9" s="7"/>
    </row>
    <row r="10" spans="2:65" x14ac:dyDescent="0.25">
      <c r="B10" s="7"/>
      <c r="C10" s="7"/>
      <c r="D10" s="7"/>
    </row>
    <row r="11" spans="2:65" x14ac:dyDescent="0.25">
      <c r="B11" s="7"/>
      <c r="C11" s="7"/>
      <c r="D11" s="7"/>
    </row>
    <row r="12" spans="2:65" x14ac:dyDescent="0.25">
      <c r="B12" s="7"/>
      <c r="C12" s="7"/>
      <c r="D12" s="7"/>
    </row>
    <row r="13" spans="2:65" x14ac:dyDescent="0.25">
      <c r="B13" s="7"/>
      <c r="C13" s="7"/>
      <c r="D13" s="7"/>
    </row>
    <row r="14" spans="2:65" x14ac:dyDescent="0.25">
      <c r="B14" s="7"/>
      <c r="C14" s="7"/>
      <c r="D14" s="7"/>
    </row>
    <row r="15" spans="2:65" x14ac:dyDescent="0.25">
      <c r="B15" s="7"/>
      <c r="C15" s="7"/>
      <c r="D15" s="7"/>
    </row>
    <row r="16" spans="2:65" x14ac:dyDescent="0.25">
      <c r="B16" s="7"/>
      <c r="C16" s="7"/>
      <c r="D16" s="7"/>
    </row>
  </sheetData>
  <mergeCells count="24">
    <mergeCell ref="AY1:BI1"/>
    <mergeCell ref="B2:D2"/>
    <mergeCell ref="E2:G2"/>
    <mergeCell ref="H2:J2"/>
    <mergeCell ref="K2:M2"/>
    <mergeCell ref="R2:T2"/>
    <mergeCell ref="U2:W2"/>
    <mergeCell ref="AO2:AQ2"/>
    <mergeCell ref="AR2:AT2"/>
    <mergeCell ref="N2:P2"/>
    <mergeCell ref="B1:L1"/>
    <mergeCell ref="R1:AB1"/>
    <mergeCell ref="AI1:AS1"/>
    <mergeCell ref="AD2:AF2"/>
    <mergeCell ref="X2:Z2"/>
    <mergeCell ref="AA2:AC2"/>
    <mergeCell ref="AI2:AK2"/>
    <mergeCell ref="AL2:AN2"/>
    <mergeCell ref="BK2:BM2"/>
    <mergeCell ref="AU2:AW2"/>
    <mergeCell ref="AY2:BA2"/>
    <mergeCell ref="BB2:BD2"/>
    <mergeCell ref="BE2:BG2"/>
    <mergeCell ref="BH2:B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E6C9-07DF-4341-ACF2-5E614276889D}">
  <dimension ref="A1:AA23"/>
  <sheetViews>
    <sheetView zoomScale="85" zoomScaleNormal="85" workbookViewId="0">
      <selection activeCell="N28" sqref="N28"/>
    </sheetView>
  </sheetViews>
  <sheetFormatPr defaultColWidth="11.42578125" defaultRowHeight="15" x14ac:dyDescent="0.25"/>
  <sheetData>
    <row r="1" spans="1:27" ht="57.75" customHeight="1" x14ac:dyDescent="0.25">
      <c r="D1" s="39" t="s">
        <v>32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3" spans="1:27" ht="45" x14ac:dyDescent="0.25">
      <c r="A3" s="2" t="s">
        <v>6</v>
      </c>
      <c r="B3" s="2" t="s">
        <v>11</v>
      </c>
      <c r="C3" s="2" t="s">
        <v>4</v>
      </c>
      <c r="D3" s="2" t="s">
        <v>2</v>
      </c>
      <c r="E3" s="2" t="s">
        <v>3</v>
      </c>
      <c r="F3" s="2" t="s">
        <v>29</v>
      </c>
      <c r="G3" s="2" t="s">
        <v>0</v>
      </c>
      <c r="H3" s="2" t="s">
        <v>1</v>
      </c>
      <c r="I3" s="2" t="s">
        <v>7</v>
      </c>
      <c r="J3" s="2" t="s">
        <v>8</v>
      </c>
      <c r="K3" s="2" t="s">
        <v>17</v>
      </c>
      <c r="L3" s="2" t="s">
        <v>18</v>
      </c>
      <c r="M3" s="2" t="s">
        <v>26</v>
      </c>
    </row>
    <row r="4" spans="1:27" x14ac:dyDescent="0.25">
      <c r="A4" s="42" t="s">
        <v>12</v>
      </c>
      <c r="B4" s="6">
        <v>1</v>
      </c>
      <c r="C4" s="43" t="s">
        <v>5</v>
      </c>
      <c r="D4" s="43">
        <v>66</v>
      </c>
      <c r="E4" s="43">
        <v>66</v>
      </c>
      <c r="F4" s="56"/>
      <c r="G4" s="43">
        <v>1</v>
      </c>
      <c r="H4" s="43">
        <v>1</v>
      </c>
      <c r="I4" s="43">
        <v>66</v>
      </c>
      <c r="J4" s="43">
        <v>66</v>
      </c>
      <c r="K4" s="5">
        <f>AVERAGE(DataExp2!B4:B8)</f>
        <v>12.855174187789022</v>
      </c>
      <c r="L4" s="5">
        <f>AVERAGE(DataExp2!C4:C8)</f>
        <v>1.939746992143154</v>
      </c>
      <c r="M4" s="14">
        <f>AVERAGE(DataExp2!D4:D8)</f>
        <v>0.19700231552123962</v>
      </c>
    </row>
    <row r="5" spans="1:27" x14ac:dyDescent="0.25">
      <c r="A5" s="42"/>
      <c r="B5" s="6">
        <v>3</v>
      </c>
      <c r="C5" s="43"/>
      <c r="D5" s="43"/>
      <c r="E5" s="43"/>
      <c r="F5" s="57"/>
      <c r="G5" s="43"/>
      <c r="H5" s="43"/>
      <c r="I5" s="43"/>
      <c r="J5" s="43"/>
      <c r="K5" s="5">
        <f>AVERAGE(DataExp2!E4:E8)</f>
        <v>6.7273250931611468</v>
      </c>
      <c r="L5" s="5">
        <f>AVERAGE(DataExp2!F4:F8)</f>
        <v>1.200760862107398</v>
      </c>
      <c r="M5" s="5">
        <f>AVERAGE(DataExp2!G4:G8)</f>
        <v>0.2107465267181392</v>
      </c>
    </row>
    <row r="6" spans="1:27" x14ac:dyDescent="0.25">
      <c r="A6" s="42"/>
      <c r="B6" s="6">
        <v>5</v>
      </c>
      <c r="C6" s="43"/>
      <c r="D6" s="43"/>
      <c r="E6" s="43"/>
      <c r="F6" s="57"/>
      <c r="G6" s="43"/>
      <c r="H6" s="43"/>
      <c r="I6" s="43"/>
      <c r="J6" s="43"/>
      <c r="K6" s="5">
        <f>AVERAGE(DataExp2!H4:H8)</f>
        <v>2.8757780700062598</v>
      </c>
      <c r="L6" s="5">
        <f>AVERAGE(DataExp2!I4:I8)</f>
        <v>0.72191845116464448</v>
      </c>
      <c r="M6" s="5">
        <f>AVERAGE(DataExp2!J4:J8)</f>
        <v>0.15662469863891562</v>
      </c>
    </row>
    <row r="7" spans="1:27" x14ac:dyDescent="0.25">
      <c r="A7" s="42"/>
      <c r="B7" s="6">
        <v>10</v>
      </c>
      <c r="C7" s="43"/>
      <c r="D7" s="43"/>
      <c r="E7" s="43"/>
      <c r="F7" s="57"/>
      <c r="G7" s="43"/>
      <c r="H7" s="43"/>
      <c r="I7" s="43"/>
      <c r="J7" s="43"/>
      <c r="K7" s="5">
        <f>AVERAGE(DataExp2!K4:K8)</f>
        <v>2.5245777936554679</v>
      </c>
      <c r="L7" s="5">
        <f>AVERAGE(DataExp2!L4:L8)</f>
        <v>0.56694028502979921</v>
      </c>
      <c r="M7" s="5">
        <f>AVERAGE(DataExp2!M4:M8)</f>
        <v>0.1676195144653318</v>
      </c>
    </row>
    <row r="8" spans="1:27" x14ac:dyDescent="0.25">
      <c r="A8" s="42"/>
      <c r="B8" s="6">
        <v>1000</v>
      </c>
      <c r="C8" s="43"/>
      <c r="D8" s="43"/>
      <c r="E8" s="43"/>
      <c r="F8" s="57"/>
      <c r="G8" s="43"/>
      <c r="H8" s="43"/>
      <c r="I8" s="43"/>
      <c r="J8" s="43"/>
      <c r="K8" s="5">
        <f>AVERAGE(DataExp2!N4:N8)</f>
        <v>2.6210229749569218</v>
      </c>
      <c r="L8" s="5">
        <f>AVERAGE(DataExp2!O4:O8)</f>
        <v>0.61057862167704702</v>
      </c>
      <c r="M8" s="5">
        <f>AVERAGE(DataExp2!P4:P8)</f>
        <v>0.17717275619506781</v>
      </c>
    </row>
    <row r="9" spans="1:27" x14ac:dyDescent="0.25">
      <c r="A9" s="43" t="s">
        <v>13</v>
      </c>
      <c r="B9" s="3">
        <v>1</v>
      </c>
      <c r="C9" s="43"/>
      <c r="D9" s="43"/>
      <c r="E9" s="43"/>
      <c r="F9" s="57"/>
      <c r="G9" s="43"/>
      <c r="H9" s="43"/>
      <c r="I9" s="43"/>
      <c r="J9" s="43"/>
      <c r="K9" s="4">
        <f>AVERAGE(DataExp2!R4:R8)</f>
        <v>25.122901453825698</v>
      </c>
      <c r="L9" s="4">
        <f>AVERAGE(DataExp2!S4:S8)</f>
        <v>3.5450549113553103</v>
      </c>
      <c r="M9" s="4">
        <f>AVERAGE(DataExp2!T4:T8)</f>
        <v>0.19828023910522422</v>
      </c>
    </row>
    <row r="10" spans="1:27" x14ac:dyDescent="0.25">
      <c r="A10" s="43"/>
      <c r="B10" s="3">
        <v>3</v>
      </c>
      <c r="C10" s="43"/>
      <c r="D10" s="43"/>
      <c r="E10" s="43"/>
      <c r="F10" s="57"/>
      <c r="G10" s="43"/>
      <c r="H10" s="43"/>
      <c r="I10" s="43"/>
      <c r="J10" s="43"/>
      <c r="K10" s="4">
        <f>AVERAGE(DataExp2!U4:U8)</f>
        <v>1.1978887514698182</v>
      </c>
      <c r="L10" s="4">
        <f>AVERAGE(DataExp2!V4:V8)</f>
        <v>0.4374259872019256</v>
      </c>
      <c r="M10" s="4">
        <f>AVERAGE(DataExp2!W4:W8)</f>
        <v>0.15119447708129818</v>
      </c>
    </row>
    <row r="11" spans="1:27" x14ac:dyDescent="0.25">
      <c r="A11" s="43"/>
      <c r="B11" s="3">
        <v>5</v>
      </c>
      <c r="C11" s="43"/>
      <c r="D11" s="43"/>
      <c r="E11" s="43"/>
      <c r="F11" s="57"/>
      <c r="G11" s="43"/>
      <c r="H11" s="43"/>
      <c r="I11" s="43"/>
      <c r="J11" s="43"/>
      <c r="K11" s="4">
        <f>AVERAGE(DataExp2!X4:X8)</f>
        <v>2.7398509444970598</v>
      </c>
      <c r="L11" s="4">
        <f>AVERAGE(DataExp2!Y4:Y8)</f>
        <v>0.61910439654566818</v>
      </c>
      <c r="M11" s="4">
        <f>AVERAGE(DataExp2!Z4:Z8)</f>
        <v>0.15588712692260681</v>
      </c>
    </row>
    <row r="12" spans="1:27" x14ac:dyDescent="0.25">
      <c r="A12" s="43"/>
      <c r="B12" s="3">
        <v>10</v>
      </c>
      <c r="C12" s="43"/>
      <c r="D12" s="43"/>
      <c r="E12" s="43"/>
      <c r="F12" s="57"/>
      <c r="G12" s="43"/>
      <c r="H12" s="43"/>
      <c r="I12" s="43"/>
      <c r="J12" s="43"/>
      <c r="K12" s="4">
        <f>AVERAGE(DataExp2!AA4:AA8)</f>
        <v>2.3904188069590249</v>
      </c>
      <c r="L12" s="4">
        <f>AVERAGE(DataExp2!AB4:AB8)</f>
        <v>0.57182963236034456</v>
      </c>
      <c r="M12" s="4">
        <f>AVERAGE(DataExp2!AC4:AC8)</f>
        <v>0.1640295982360836</v>
      </c>
    </row>
    <row r="13" spans="1:27" x14ac:dyDescent="0.25">
      <c r="A13" s="43"/>
      <c r="B13" s="3">
        <v>1000</v>
      </c>
      <c r="C13" s="43"/>
      <c r="D13" s="43"/>
      <c r="E13" s="43"/>
      <c r="F13" s="57"/>
      <c r="G13" s="43"/>
      <c r="H13" s="43"/>
      <c r="I13" s="43"/>
      <c r="J13" s="43"/>
      <c r="K13" s="4">
        <f>AVERAGE(DataExp2!AD4:AD8)</f>
        <v>3.118010443300594</v>
      </c>
      <c r="L13" s="4">
        <f>AVERAGE(DataExp2!AE4:AE8)</f>
        <v>0.65619528050211307</v>
      </c>
      <c r="M13" s="4">
        <f>AVERAGE(DataExp2!AF4:AF8)</f>
        <v>0.1643743038177484</v>
      </c>
    </row>
    <row r="14" spans="1:27" x14ac:dyDescent="0.25">
      <c r="A14" s="42" t="s">
        <v>14</v>
      </c>
      <c r="B14" s="6">
        <v>1</v>
      </c>
      <c r="C14" s="43"/>
      <c r="D14" s="43"/>
      <c r="E14" s="43"/>
      <c r="F14" s="57"/>
      <c r="G14" s="43"/>
      <c r="H14" s="43"/>
      <c r="I14" s="43"/>
      <c r="J14" s="43"/>
      <c r="K14" s="14">
        <f>AVERAGE(DataExp2!AI4:AI8)</f>
        <v>2.018042671934988</v>
      </c>
      <c r="L14" s="14">
        <f>AVERAGE(DataExp2!AJ4:AJ8)</f>
        <v>0.37754673426285001</v>
      </c>
      <c r="M14" s="14">
        <f>AVERAGE(DataExp2!AK4:AK8)</f>
        <v>0.1502608299255368</v>
      </c>
    </row>
    <row r="15" spans="1:27" x14ac:dyDescent="0.25">
      <c r="A15" s="42"/>
      <c r="B15" s="6">
        <v>3</v>
      </c>
      <c r="C15" s="43"/>
      <c r="D15" s="43"/>
      <c r="E15" s="43"/>
      <c r="F15" s="57"/>
      <c r="G15" s="43"/>
      <c r="H15" s="43"/>
      <c r="I15" s="43"/>
      <c r="J15" s="43"/>
      <c r="K15" s="14">
        <f>AVERAGE(DataExp2!AL4:AL8)</f>
        <v>2.9999089103706797</v>
      </c>
      <c r="L15" s="14">
        <f>AVERAGE(DataExp2!AM4:AM8)</f>
        <v>0.65283726198614711</v>
      </c>
      <c r="M15" s="14">
        <f>AVERAGE(DataExp2!AN4:AN8)</f>
        <v>0.15916876792907658</v>
      </c>
    </row>
    <row r="16" spans="1:27" x14ac:dyDescent="0.25">
      <c r="A16" s="42"/>
      <c r="B16" s="6">
        <v>5</v>
      </c>
      <c r="C16" s="43"/>
      <c r="D16" s="43"/>
      <c r="E16" s="43"/>
      <c r="F16" s="57"/>
      <c r="G16" s="43"/>
      <c r="H16" s="43"/>
      <c r="I16" s="43"/>
      <c r="J16" s="43"/>
      <c r="K16" s="14">
        <f>AVERAGE(DataExp2!AO4:AO8)</f>
        <v>3.0887572192386399</v>
      </c>
      <c r="L16" s="14">
        <f>AVERAGE(DataExp2!AP4:AP8)</f>
        <v>0.65288781422810149</v>
      </c>
      <c r="M16" s="14">
        <f>AVERAGE(DataExp2!AQ4:AQ8)</f>
        <v>0.18022336959838842</v>
      </c>
    </row>
    <row r="17" spans="1:13" x14ac:dyDescent="0.25">
      <c r="A17" s="42"/>
      <c r="B17" s="6">
        <v>10</v>
      </c>
      <c r="C17" s="43"/>
      <c r="D17" s="43"/>
      <c r="E17" s="43"/>
      <c r="F17" s="57"/>
      <c r="G17" s="43"/>
      <c r="H17" s="43"/>
      <c r="I17" s="43"/>
      <c r="J17" s="43"/>
      <c r="K17" s="14">
        <f>AVERAGE(DataExp2!AR4:AR8)</f>
        <v>3.0147786188702144</v>
      </c>
      <c r="L17" s="14">
        <f>AVERAGE(DataExp2!AS4:AS8)</f>
        <v>0.65218430526407933</v>
      </c>
      <c r="M17" s="14">
        <f>AVERAGE(DataExp2!AT4:AT8)</f>
        <v>0.1679047107696528</v>
      </c>
    </row>
    <row r="18" spans="1:13" x14ac:dyDescent="0.25">
      <c r="A18" s="42"/>
      <c r="B18" s="6">
        <v>1000</v>
      </c>
      <c r="C18" s="43"/>
      <c r="D18" s="43"/>
      <c r="E18" s="43"/>
      <c r="F18" s="57"/>
      <c r="G18" s="43"/>
      <c r="H18" s="43"/>
      <c r="I18" s="43"/>
      <c r="J18" s="43"/>
      <c r="K18" s="14">
        <f>AVERAGE(DataExp2!AU4:AU8)</f>
        <v>3.1022309678357018</v>
      </c>
      <c r="L18" s="14">
        <f>AVERAGE(DataExp2!AV4:AV8)</f>
        <v>0.65223485750603372</v>
      </c>
      <c r="M18" s="14">
        <f>AVERAGE(DataExp2!AW4:AW8)</f>
        <v>0.1547142028808588</v>
      </c>
    </row>
    <row r="19" spans="1:13" x14ac:dyDescent="0.25">
      <c r="A19" s="43" t="s">
        <v>15</v>
      </c>
      <c r="B19" s="3">
        <v>1</v>
      </c>
      <c r="C19" s="43"/>
      <c r="D19" s="43"/>
      <c r="E19" s="43"/>
      <c r="F19" s="57"/>
      <c r="G19" s="43"/>
      <c r="H19" s="43"/>
      <c r="I19" s="43"/>
      <c r="J19" s="43"/>
      <c r="K19" s="4">
        <f>AVERAGE(DataExp2!AY4:AY8)</f>
        <v>23.17734266838546</v>
      </c>
      <c r="L19" s="4">
        <f>AVERAGE(DataExp2!AZ4:AZ8)</f>
        <v>3.2327058578214101</v>
      </c>
      <c r="M19" s="4">
        <f>AVERAGE(DataExp2!BA4:BA8)</f>
        <v>0.19334774017333919</v>
      </c>
    </row>
    <row r="20" spans="1:13" x14ac:dyDescent="0.25">
      <c r="A20" s="43"/>
      <c r="B20" s="3">
        <v>3</v>
      </c>
      <c r="C20" s="43"/>
      <c r="D20" s="43"/>
      <c r="E20" s="43"/>
      <c r="F20" s="57"/>
      <c r="G20" s="43"/>
      <c r="H20" s="43"/>
      <c r="I20" s="43"/>
      <c r="J20" s="43"/>
      <c r="K20" s="4">
        <f>AVERAGE(DataExp2!BB4:BB8)</f>
        <v>2.7741290185543344</v>
      </c>
      <c r="L20" s="4">
        <f>AVERAGE(DataExp2!BC4:BC8)</f>
        <v>0.61911703460615741</v>
      </c>
      <c r="M20" s="4">
        <f>AVERAGE(DataExp2!BD4:BD8)</f>
        <v>0.19868965148925719</v>
      </c>
    </row>
    <row r="21" spans="1:13" x14ac:dyDescent="0.25">
      <c r="A21" s="43"/>
      <c r="B21" s="3">
        <v>5</v>
      </c>
      <c r="C21" s="43"/>
      <c r="D21" s="43"/>
      <c r="E21" s="43"/>
      <c r="F21" s="57"/>
      <c r="G21" s="43"/>
      <c r="H21" s="43"/>
      <c r="I21" s="43"/>
      <c r="J21" s="43"/>
      <c r="K21" s="4">
        <f>AVERAGE(DataExp2!BE4:BE8)</f>
        <v>2.776927957976338</v>
      </c>
      <c r="L21" s="4">
        <f>AVERAGE(DataExp2!BF4:BF8)</f>
        <v>0.62563195478800826</v>
      </c>
      <c r="M21" s="4">
        <f>AVERAGE(DataExp2!BG4:BG8)</f>
        <v>0.15434794425964279</v>
      </c>
    </row>
    <row r="22" spans="1:13" x14ac:dyDescent="0.25">
      <c r="A22" s="52"/>
      <c r="B22" s="10">
        <v>10</v>
      </c>
      <c r="C22" s="52"/>
      <c r="D22" s="52"/>
      <c r="E22" s="52"/>
      <c r="F22" s="57"/>
      <c r="G22" s="52"/>
      <c r="H22" s="52"/>
      <c r="I22" s="52"/>
      <c r="J22" s="52"/>
      <c r="K22" s="27">
        <f>AVERAGE(DataExp2!BH4:BH8)</f>
        <v>2.6552692879772497</v>
      </c>
      <c r="L22" s="27">
        <f>AVERAGE(DataExp2!BI4:BI8)</f>
        <v>0.61909807751542356</v>
      </c>
      <c r="M22" s="27">
        <f>AVERAGE(DataExp2!BJ4:BJ8)</f>
        <v>0.1542748928070064</v>
      </c>
    </row>
    <row r="23" spans="1:13" ht="15.75" thickBot="1" x14ac:dyDescent="0.3">
      <c r="A23" s="55"/>
      <c r="B23" s="26">
        <v>1000</v>
      </c>
      <c r="C23" s="55"/>
      <c r="D23" s="55"/>
      <c r="E23" s="55"/>
      <c r="F23" s="58"/>
      <c r="G23" s="55"/>
      <c r="H23" s="55"/>
      <c r="I23" s="55"/>
      <c r="J23" s="55"/>
      <c r="K23" s="25">
        <f>AVERAGE(DataExp2!BK4:BK8)</f>
        <v>2.6966735043782979</v>
      </c>
      <c r="L23" s="25">
        <f>AVERAGE(DataExp2!BL4:BL8)</f>
        <v>0.6191107155759128</v>
      </c>
      <c r="M23" s="25">
        <f>AVERAGE(DataExp2!BM4:BM8)</f>
        <v>0.15388998985290481</v>
      </c>
    </row>
  </sheetData>
  <mergeCells count="13">
    <mergeCell ref="D1:AA1"/>
    <mergeCell ref="A4:A8"/>
    <mergeCell ref="C4:C23"/>
    <mergeCell ref="D4:D23"/>
    <mergeCell ref="E4:E23"/>
    <mergeCell ref="F4:F23"/>
    <mergeCell ref="G4:G23"/>
    <mergeCell ref="H4:H23"/>
    <mergeCell ref="I4:I23"/>
    <mergeCell ref="J4:J23"/>
    <mergeCell ref="A9:A13"/>
    <mergeCell ref="A14:A18"/>
    <mergeCell ref="A19:A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AAA12-50B0-4DB2-B0E7-B06F76284A15}">
  <dimension ref="A2:L22"/>
  <sheetViews>
    <sheetView workbookViewId="0">
      <selection activeCell="L3" sqref="L3"/>
    </sheetView>
  </sheetViews>
  <sheetFormatPr defaultColWidth="8.85546875" defaultRowHeight="15" x14ac:dyDescent="0.25"/>
  <cols>
    <col min="6" max="6" width="12.42578125" customWidth="1"/>
  </cols>
  <sheetData>
    <row r="2" spans="1:12" ht="60" x14ac:dyDescent="0.25">
      <c r="A2" s="2" t="s">
        <v>6</v>
      </c>
      <c r="B2" s="2" t="s">
        <v>11</v>
      </c>
      <c r="C2" s="2" t="s">
        <v>4</v>
      </c>
      <c r="D2" s="2" t="s">
        <v>2</v>
      </c>
      <c r="E2" s="2" t="s">
        <v>3</v>
      </c>
      <c r="F2" s="2" t="s">
        <v>29</v>
      </c>
      <c r="G2" s="2" t="s">
        <v>0</v>
      </c>
      <c r="H2" s="2" t="s">
        <v>1</v>
      </c>
      <c r="I2" s="2" t="s">
        <v>7</v>
      </c>
      <c r="J2" s="2" t="s">
        <v>8</v>
      </c>
      <c r="K2" s="2" t="s">
        <v>17</v>
      </c>
      <c r="L2" s="2" t="s">
        <v>18</v>
      </c>
    </row>
    <row r="3" spans="1:12" x14ac:dyDescent="0.25">
      <c r="A3" s="59" t="s">
        <v>12</v>
      </c>
      <c r="B3" s="6">
        <v>1</v>
      </c>
      <c r="C3" s="43" t="s">
        <v>5</v>
      </c>
      <c r="D3" s="43">
        <v>66</v>
      </c>
      <c r="E3" s="43">
        <v>66</v>
      </c>
      <c r="F3" s="54"/>
      <c r="G3" s="43">
        <v>1</v>
      </c>
      <c r="H3" s="43">
        <v>1</v>
      </c>
      <c r="I3" s="43">
        <v>66</v>
      </c>
      <c r="J3" s="43">
        <v>66</v>
      </c>
      <c r="K3" s="9">
        <v>24.272210690591301</v>
      </c>
      <c r="L3" s="14">
        <v>3.3054398403598002</v>
      </c>
    </row>
    <row r="4" spans="1:12" x14ac:dyDescent="0.25">
      <c r="A4" s="60"/>
      <c r="B4" s="6">
        <v>3</v>
      </c>
      <c r="C4" s="43"/>
      <c r="D4" s="43"/>
      <c r="E4" s="43"/>
      <c r="F4" s="54"/>
      <c r="G4" s="43"/>
      <c r="H4" s="43"/>
      <c r="I4" s="43"/>
      <c r="J4" s="43"/>
      <c r="K4" s="14">
        <v>10.596633070539401</v>
      </c>
      <c r="L4" s="14">
        <v>1.5955635877966901</v>
      </c>
    </row>
    <row r="5" spans="1:12" x14ac:dyDescent="0.25">
      <c r="A5" s="60"/>
      <c r="B5" s="6">
        <v>5</v>
      </c>
      <c r="C5" s="43"/>
      <c r="D5" s="43"/>
      <c r="E5" s="43"/>
      <c r="F5" s="54"/>
      <c r="G5" s="43"/>
      <c r="H5" s="43"/>
      <c r="I5" s="43"/>
      <c r="J5" s="43"/>
      <c r="K5" s="14">
        <v>4.5624707313509596</v>
      </c>
      <c r="L5" s="14">
        <v>0.80189414157007399</v>
      </c>
    </row>
    <row r="6" spans="1:12" x14ac:dyDescent="0.25">
      <c r="A6" s="60"/>
      <c r="B6" s="6">
        <v>10</v>
      </c>
      <c r="C6" s="43"/>
      <c r="D6" s="43"/>
      <c r="E6" s="43"/>
      <c r="F6" s="54"/>
      <c r="G6" s="43"/>
      <c r="H6" s="43"/>
      <c r="I6" s="43"/>
      <c r="J6" s="43"/>
      <c r="K6" s="14">
        <v>0.610171518579538</v>
      </c>
      <c r="L6" s="14">
        <v>0.18817509888984599</v>
      </c>
    </row>
    <row r="7" spans="1:12" x14ac:dyDescent="0.25">
      <c r="A7" s="41"/>
      <c r="B7" s="6">
        <v>100</v>
      </c>
      <c r="C7" s="43"/>
      <c r="D7" s="43"/>
      <c r="E7" s="43"/>
      <c r="F7" s="54"/>
      <c r="G7" s="43"/>
      <c r="H7" s="43"/>
      <c r="I7" s="43"/>
      <c r="J7" s="43"/>
      <c r="K7" s="9">
        <v>0.56361848551125004</v>
      </c>
      <c r="L7" s="9">
        <v>0.197282474192192</v>
      </c>
    </row>
    <row r="8" spans="1:12" x14ac:dyDescent="0.25">
      <c r="A8" s="52" t="s">
        <v>13</v>
      </c>
      <c r="B8" s="3">
        <v>1</v>
      </c>
      <c r="C8" s="43"/>
      <c r="D8" s="43"/>
      <c r="E8" s="43"/>
      <c r="F8" s="54"/>
      <c r="G8" s="43"/>
      <c r="H8" s="43"/>
      <c r="I8" s="43"/>
      <c r="J8" s="43"/>
      <c r="K8" s="4">
        <v>51.3708858392826</v>
      </c>
      <c r="L8" s="4">
        <v>6.6885950561924696</v>
      </c>
    </row>
    <row r="9" spans="1:12" x14ac:dyDescent="0.25">
      <c r="A9" s="47"/>
      <c r="B9" s="3">
        <v>3</v>
      </c>
      <c r="C9" s="43"/>
      <c r="D9" s="43"/>
      <c r="E9" s="43"/>
      <c r="F9" s="54"/>
      <c r="G9" s="43"/>
      <c r="H9" s="43"/>
      <c r="I9" s="43"/>
      <c r="J9" s="43"/>
      <c r="K9" s="4">
        <v>2.1067016984413098</v>
      </c>
      <c r="L9" s="4">
        <v>0.40789971668138397</v>
      </c>
    </row>
    <row r="10" spans="1:12" x14ac:dyDescent="0.25">
      <c r="A10" s="47"/>
      <c r="B10" s="3">
        <v>5</v>
      </c>
      <c r="C10" s="43"/>
      <c r="D10" s="43"/>
      <c r="E10" s="43"/>
      <c r="F10" s="54"/>
      <c r="G10" s="43"/>
      <c r="H10" s="43"/>
      <c r="I10" s="43"/>
      <c r="J10" s="43"/>
      <c r="K10" s="4">
        <v>2.8064566058312099</v>
      </c>
      <c r="L10" s="4">
        <v>0.67455402488281302</v>
      </c>
    </row>
    <row r="11" spans="1:12" x14ac:dyDescent="0.25">
      <c r="A11" s="47"/>
      <c r="B11" s="3">
        <v>10</v>
      </c>
      <c r="C11" s="43"/>
      <c r="D11" s="43"/>
      <c r="E11" s="43"/>
      <c r="F11" s="54"/>
      <c r="G11" s="43"/>
      <c r="H11" s="43"/>
      <c r="I11" s="43"/>
      <c r="J11" s="43"/>
      <c r="K11" s="4">
        <v>1.8870454425238199</v>
      </c>
      <c r="L11" s="4">
        <v>0.37616173059733798</v>
      </c>
    </row>
    <row r="12" spans="1:12" x14ac:dyDescent="0.25">
      <c r="A12" s="45"/>
      <c r="B12" s="3">
        <v>100</v>
      </c>
      <c r="C12" s="43"/>
      <c r="D12" s="43"/>
      <c r="E12" s="43"/>
      <c r="F12" s="54"/>
      <c r="G12" s="43"/>
      <c r="H12" s="43"/>
      <c r="I12" s="43"/>
      <c r="J12" s="43"/>
      <c r="K12" s="4">
        <v>1.6795645399372201</v>
      </c>
      <c r="L12" s="4">
        <v>0.41984578161339797</v>
      </c>
    </row>
    <row r="13" spans="1:12" x14ac:dyDescent="0.25">
      <c r="A13" s="59" t="s">
        <v>14</v>
      </c>
      <c r="B13" s="6">
        <v>1</v>
      </c>
      <c r="C13" s="43"/>
      <c r="D13" s="43"/>
      <c r="E13" s="43"/>
      <c r="F13" s="54"/>
      <c r="G13" s="43"/>
      <c r="H13" s="43"/>
      <c r="I13" s="43"/>
      <c r="J13" s="43"/>
      <c r="K13" s="14">
        <v>1.97796965575553</v>
      </c>
      <c r="L13" s="14">
        <v>0.37754673426285001</v>
      </c>
    </row>
    <row r="14" spans="1:12" x14ac:dyDescent="0.25">
      <c r="A14" s="60"/>
      <c r="B14" s="6">
        <v>3</v>
      </c>
      <c r="C14" s="43"/>
      <c r="D14" s="43"/>
      <c r="E14" s="43"/>
      <c r="F14" s="54"/>
      <c r="G14" s="43"/>
      <c r="H14" s="43"/>
      <c r="I14" s="43"/>
      <c r="J14" s="43"/>
      <c r="K14" s="14">
        <v>3.1862607049915099</v>
      </c>
      <c r="L14" s="14">
        <v>0.65565129784223597</v>
      </c>
    </row>
    <row r="15" spans="1:12" x14ac:dyDescent="0.25">
      <c r="A15" s="60"/>
      <c r="B15" s="6">
        <v>5</v>
      </c>
      <c r="C15" s="43"/>
      <c r="D15" s="43"/>
      <c r="E15" s="43"/>
      <c r="F15" s="54"/>
      <c r="G15" s="43"/>
      <c r="H15" s="43"/>
      <c r="I15" s="43"/>
      <c r="J15" s="43"/>
      <c r="K15" s="14">
        <v>3.1662124268938201</v>
      </c>
      <c r="L15" s="14">
        <v>0.65226013362701096</v>
      </c>
    </row>
    <row r="16" spans="1:12" x14ac:dyDescent="0.25">
      <c r="A16" s="60"/>
      <c r="B16" s="6">
        <v>10</v>
      </c>
      <c r="C16" s="43"/>
      <c r="D16" s="43"/>
      <c r="E16" s="43"/>
      <c r="F16" s="54"/>
      <c r="G16" s="43"/>
      <c r="H16" s="43"/>
      <c r="I16" s="43"/>
      <c r="J16" s="43"/>
      <c r="K16" s="14">
        <v>3.0769912027266599</v>
      </c>
      <c r="L16" s="14">
        <v>0.65226013362701096</v>
      </c>
    </row>
    <row r="17" spans="1:12" x14ac:dyDescent="0.25">
      <c r="A17" s="41"/>
      <c r="B17" s="6">
        <v>100</v>
      </c>
      <c r="C17" s="43"/>
      <c r="D17" s="43"/>
      <c r="E17" s="43"/>
      <c r="F17" s="54"/>
      <c r="G17" s="43"/>
      <c r="H17" s="43"/>
      <c r="I17" s="43"/>
      <c r="J17" s="43"/>
      <c r="K17" s="14">
        <v>3.1294599319079799</v>
      </c>
      <c r="L17" s="14">
        <v>0.65226013362701096</v>
      </c>
    </row>
    <row r="18" spans="1:12" x14ac:dyDescent="0.25">
      <c r="A18" s="43" t="s">
        <v>15</v>
      </c>
      <c r="B18" s="3">
        <v>1</v>
      </c>
      <c r="C18" s="43"/>
      <c r="D18" s="43"/>
      <c r="E18" s="43"/>
      <c r="F18" s="54"/>
      <c r="G18" s="43"/>
      <c r="H18" s="43"/>
      <c r="I18" s="43"/>
      <c r="J18" s="43"/>
      <c r="K18">
        <v>34.454845100484</v>
      </c>
      <c r="L18">
        <v>4.5813181927955497</v>
      </c>
    </row>
    <row r="19" spans="1:12" x14ac:dyDescent="0.25">
      <c r="A19" s="43"/>
      <c r="B19" s="3">
        <v>3</v>
      </c>
      <c r="C19" s="43"/>
      <c r="D19" s="43"/>
      <c r="E19" s="43"/>
      <c r="F19" s="54"/>
      <c r="G19" s="43"/>
      <c r="H19" s="43"/>
      <c r="I19" s="43"/>
      <c r="J19" s="43"/>
      <c r="K19" s="4">
        <v>1.9521931441214699</v>
      </c>
      <c r="L19" s="4">
        <v>0.33857361093395399</v>
      </c>
    </row>
    <row r="20" spans="1:12" x14ac:dyDescent="0.25">
      <c r="A20" s="43"/>
      <c r="B20" s="3">
        <v>5</v>
      </c>
      <c r="C20" s="43"/>
      <c r="D20" s="43"/>
      <c r="E20" s="43"/>
      <c r="F20" s="54"/>
      <c r="G20" s="43"/>
      <c r="H20" s="43"/>
      <c r="I20" s="43"/>
      <c r="J20" s="43"/>
      <c r="K20" s="3">
        <v>2.0043440401661101</v>
      </c>
      <c r="L20" s="3">
        <v>0.34338396096988</v>
      </c>
    </row>
    <row r="21" spans="1:12" x14ac:dyDescent="0.25">
      <c r="A21" s="52"/>
      <c r="B21" s="10">
        <v>10</v>
      </c>
      <c r="C21" s="43"/>
      <c r="D21" s="43"/>
      <c r="E21" s="43"/>
      <c r="F21" s="54"/>
      <c r="G21" s="43"/>
      <c r="H21" s="43"/>
      <c r="I21" s="43"/>
      <c r="J21" s="43"/>
      <c r="K21" s="3">
        <v>2.0041611367035599</v>
      </c>
      <c r="L21" s="3">
        <v>2.0041611367035599</v>
      </c>
    </row>
    <row r="22" spans="1:12" ht="15.75" thickBot="1" x14ac:dyDescent="0.3">
      <c r="A22" s="55"/>
      <c r="B22" s="26">
        <v>100</v>
      </c>
      <c r="C22" s="43"/>
      <c r="D22" s="43"/>
      <c r="E22" s="43"/>
      <c r="F22" s="54"/>
      <c r="G22" s="43"/>
      <c r="H22" s="43"/>
      <c r="I22" s="43"/>
      <c r="J22" s="43"/>
      <c r="K22" s="3">
        <v>2.0126023888751998</v>
      </c>
      <c r="L22" s="3">
        <v>0.34214778522052502</v>
      </c>
    </row>
  </sheetData>
  <mergeCells count="12">
    <mergeCell ref="A13:A17"/>
    <mergeCell ref="A18:A22"/>
    <mergeCell ref="A3:A7"/>
    <mergeCell ref="A8:A12"/>
    <mergeCell ref="J3:J22"/>
    <mergeCell ref="C3:C22"/>
    <mergeCell ref="D3:D22"/>
    <mergeCell ref="E3:E22"/>
    <mergeCell ref="F3:F22"/>
    <mergeCell ref="G3:G22"/>
    <mergeCell ref="H3:H22"/>
    <mergeCell ref="I3:I2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F955-8A08-4606-BED9-523AEA531233}">
  <dimension ref="B1:BC21"/>
  <sheetViews>
    <sheetView workbookViewId="0">
      <selection activeCell="H33" sqref="H33"/>
    </sheetView>
  </sheetViews>
  <sheetFormatPr defaultColWidth="8.85546875" defaultRowHeight="15" x14ac:dyDescent="0.25"/>
  <cols>
    <col min="2" max="2" width="9.140625" bestFit="1" customWidth="1"/>
    <col min="3" max="3" width="12" bestFit="1" customWidth="1"/>
    <col min="4" max="4" width="8.140625" bestFit="1" customWidth="1"/>
    <col min="5" max="5" width="12" bestFit="1" customWidth="1"/>
    <col min="6" max="6" width="12.42578125" bestFit="1" customWidth="1"/>
    <col min="7" max="7" width="8.140625" bestFit="1" customWidth="1"/>
    <col min="8" max="8" width="10.28515625" bestFit="1" customWidth="1"/>
    <col min="13" max="13" width="8.140625" bestFit="1" customWidth="1"/>
    <col min="18" max="18" width="9.42578125" bestFit="1" customWidth="1"/>
    <col min="20" max="20" width="8.140625" bestFit="1" customWidth="1"/>
  </cols>
  <sheetData>
    <row r="1" spans="2:55" x14ac:dyDescent="0.25">
      <c r="B1" s="53" t="s">
        <v>25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21"/>
      <c r="R1" s="35" t="s">
        <v>27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E1" s="35" t="s">
        <v>28</v>
      </c>
      <c r="AF1" s="35"/>
      <c r="AG1" s="35"/>
      <c r="AH1" s="35"/>
      <c r="AI1" s="35"/>
      <c r="AJ1" s="35"/>
      <c r="AK1" s="35"/>
      <c r="AL1" s="35"/>
      <c r="AM1" s="35"/>
      <c r="AN1" s="53"/>
      <c r="AO1" s="53"/>
      <c r="AP1" s="21"/>
      <c r="AR1" s="35" t="s">
        <v>15</v>
      </c>
      <c r="AS1" s="35"/>
      <c r="AT1" s="35"/>
      <c r="AU1" s="35"/>
      <c r="AV1" s="35"/>
      <c r="AW1" s="35"/>
      <c r="AX1" s="35"/>
      <c r="AY1" s="35"/>
      <c r="AZ1" s="35"/>
      <c r="BA1" s="53"/>
      <c r="BB1" s="53"/>
    </row>
    <row r="2" spans="2:55" x14ac:dyDescent="0.25">
      <c r="B2" s="36" t="s">
        <v>19</v>
      </c>
      <c r="C2" s="37"/>
      <c r="D2" s="38"/>
      <c r="E2" s="36" t="s">
        <v>21</v>
      </c>
      <c r="F2" s="37"/>
      <c r="G2" s="38"/>
      <c r="H2" s="32" t="s">
        <v>22</v>
      </c>
      <c r="I2" s="33"/>
      <c r="J2" s="34"/>
      <c r="K2" s="54" t="s">
        <v>16</v>
      </c>
      <c r="L2" s="54"/>
      <c r="M2" s="54"/>
      <c r="N2" s="54" t="s">
        <v>31</v>
      </c>
      <c r="O2" s="54"/>
      <c r="P2" s="54"/>
      <c r="R2" s="36" t="s">
        <v>19</v>
      </c>
      <c r="S2" s="37"/>
      <c r="T2" s="38"/>
      <c r="U2" s="36" t="s">
        <v>21</v>
      </c>
      <c r="V2" s="37"/>
      <c r="W2" s="38"/>
      <c r="X2" s="32" t="s">
        <v>22</v>
      </c>
      <c r="Y2" s="33"/>
      <c r="Z2" s="34"/>
      <c r="AA2" s="54" t="s">
        <v>16</v>
      </c>
      <c r="AB2" s="54"/>
      <c r="AC2" s="54"/>
      <c r="AD2" s="21"/>
      <c r="AE2" s="36" t="s">
        <v>19</v>
      </c>
      <c r="AF2" s="37"/>
      <c r="AG2" s="38"/>
      <c r="AH2" s="36" t="s">
        <v>21</v>
      </c>
      <c r="AI2" s="37"/>
      <c r="AJ2" s="38"/>
      <c r="AK2" s="32" t="s">
        <v>22</v>
      </c>
      <c r="AL2" s="33"/>
      <c r="AM2" s="34"/>
      <c r="AN2" s="54" t="s">
        <v>16</v>
      </c>
      <c r="AO2" s="54"/>
      <c r="AP2" s="54"/>
      <c r="AR2" s="36" t="s">
        <v>19</v>
      </c>
      <c r="AS2" s="37"/>
      <c r="AT2" s="38"/>
      <c r="AU2" s="36" t="s">
        <v>21</v>
      </c>
      <c r="AV2" s="37"/>
      <c r="AW2" s="38"/>
      <c r="AX2" s="32" t="s">
        <v>22</v>
      </c>
      <c r="AY2" s="33"/>
      <c r="AZ2" s="34"/>
      <c r="BA2" s="54" t="s">
        <v>16</v>
      </c>
      <c r="BB2" s="54"/>
      <c r="BC2" s="54"/>
    </row>
    <row r="3" spans="2:55" ht="45" x14ac:dyDescent="0.25">
      <c r="B3" s="2" t="s">
        <v>20</v>
      </c>
      <c r="C3" s="2" t="s">
        <v>9</v>
      </c>
      <c r="D3" s="23" t="s">
        <v>30</v>
      </c>
      <c r="E3" s="2" t="s">
        <v>20</v>
      </c>
      <c r="F3" s="2" t="s">
        <v>9</v>
      </c>
      <c r="G3" s="23" t="s">
        <v>30</v>
      </c>
      <c r="H3" s="8" t="s">
        <v>20</v>
      </c>
      <c r="I3" s="8" t="s">
        <v>9</v>
      </c>
      <c r="J3" s="23" t="s">
        <v>30</v>
      </c>
      <c r="K3" s="8" t="s">
        <v>20</v>
      </c>
      <c r="L3" s="8" t="s">
        <v>9</v>
      </c>
      <c r="M3" s="23" t="s">
        <v>30</v>
      </c>
      <c r="N3" s="8" t="s">
        <v>20</v>
      </c>
      <c r="O3" s="8" t="s">
        <v>9</v>
      </c>
      <c r="P3" s="23" t="s">
        <v>30</v>
      </c>
      <c r="R3" s="2" t="s">
        <v>20</v>
      </c>
      <c r="S3" s="2" t="s">
        <v>9</v>
      </c>
      <c r="T3" s="23" t="s">
        <v>30</v>
      </c>
      <c r="U3" s="2" t="s">
        <v>20</v>
      </c>
      <c r="V3" s="2" t="s">
        <v>9</v>
      </c>
      <c r="W3" s="23" t="s">
        <v>30</v>
      </c>
      <c r="X3" s="8" t="s">
        <v>20</v>
      </c>
      <c r="Y3" s="8" t="s">
        <v>9</v>
      </c>
      <c r="Z3" s="23" t="s">
        <v>30</v>
      </c>
      <c r="AA3" s="8" t="s">
        <v>20</v>
      </c>
      <c r="AB3" s="8" t="s">
        <v>9</v>
      </c>
      <c r="AC3" s="23" t="s">
        <v>30</v>
      </c>
      <c r="AD3" s="24"/>
      <c r="AE3" s="23" t="s">
        <v>20</v>
      </c>
      <c r="AF3" s="2" t="s">
        <v>9</v>
      </c>
      <c r="AG3" s="23" t="s">
        <v>30</v>
      </c>
      <c r="AH3" s="2" t="s">
        <v>20</v>
      </c>
      <c r="AI3" s="2" t="s">
        <v>9</v>
      </c>
      <c r="AJ3" s="23" t="s">
        <v>30</v>
      </c>
      <c r="AK3" s="8" t="s">
        <v>20</v>
      </c>
      <c r="AL3" s="8" t="s">
        <v>9</v>
      </c>
      <c r="AM3" s="23" t="s">
        <v>30</v>
      </c>
      <c r="AN3" s="8" t="s">
        <v>20</v>
      </c>
      <c r="AO3" s="8" t="s">
        <v>9</v>
      </c>
      <c r="AP3" s="23" t="s">
        <v>30</v>
      </c>
      <c r="AR3" s="23" t="s">
        <v>20</v>
      </c>
      <c r="AS3" s="2" t="s">
        <v>9</v>
      </c>
      <c r="AT3" s="23" t="s">
        <v>30</v>
      </c>
      <c r="AU3" s="2" t="s">
        <v>20</v>
      </c>
      <c r="AV3" s="2" t="s">
        <v>9</v>
      </c>
      <c r="AW3" s="23" t="s">
        <v>30</v>
      </c>
      <c r="AX3" s="8" t="s">
        <v>20</v>
      </c>
      <c r="AY3" s="8" t="s">
        <v>9</v>
      </c>
      <c r="AZ3" s="23" t="s">
        <v>30</v>
      </c>
      <c r="BA3" s="8" t="s">
        <v>20</v>
      </c>
      <c r="BB3" s="8" t="s">
        <v>9</v>
      </c>
      <c r="BC3" s="23" t="s">
        <v>30</v>
      </c>
    </row>
    <row r="4" spans="2:55" x14ac:dyDescent="0.25">
      <c r="B4" s="4"/>
      <c r="C4" s="4"/>
      <c r="D4" s="4"/>
      <c r="E4" s="5"/>
      <c r="F4" s="5"/>
      <c r="G4" s="5"/>
      <c r="H4" s="4"/>
      <c r="I4" s="4"/>
      <c r="J4" s="4"/>
      <c r="K4" s="5"/>
      <c r="L4" s="5"/>
      <c r="M4" s="5"/>
      <c r="N4" s="5"/>
      <c r="O4" s="5"/>
      <c r="P4" s="5"/>
      <c r="R4" s="4"/>
      <c r="S4" s="4"/>
      <c r="T4" s="4"/>
      <c r="U4" s="5"/>
      <c r="V4" s="5"/>
      <c r="W4" s="5"/>
      <c r="X4" s="4"/>
      <c r="Y4" s="4"/>
      <c r="Z4" s="4"/>
      <c r="AA4" s="5"/>
      <c r="AB4" s="5"/>
      <c r="AC4" s="3"/>
      <c r="AE4" s="4"/>
      <c r="AF4" s="4"/>
      <c r="AG4" s="4"/>
      <c r="AH4" s="5"/>
      <c r="AI4" s="5"/>
      <c r="AJ4" s="5"/>
      <c r="AK4" s="4"/>
      <c r="AL4" s="4"/>
      <c r="AM4" s="4"/>
      <c r="AN4" s="5"/>
      <c r="AO4" s="5"/>
      <c r="AP4" s="5"/>
      <c r="AR4" s="4"/>
      <c r="AS4" s="4"/>
      <c r="AT4" s="4"/>
      <c r="AU4" s="5"/>
      <c r="AV4" s="5"/>
      <c r="AW4" s="5"/>
      <c r="AX4" s="4"/>
      <c r="AY4" s="4"/>
      <c r="AZ4" s="4"/>
      <c r="BA4" s="5"/>
      <c r="BB4" s="5"/>
      <c r="BC4" s="3"/>
    </row>
    <row r="5" spans="2:55" x14ac:dyDescent="0.25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  <c r="O5" s="5"/>
      <c r="P5" s="5"/>
      <c r="R5" s="4"/>
      <c r="S5" s="4"/>
      <c r="T5" s="4"/>
      <c r="U5" s="5"/>
      <c r="V5" s="5"/>
      <c r="W5" s="5"/>
      <c r="X5" s="4"/>
      <c r="Y5" s="4"/>
      <c r="Z5" s="4"/>
      <c r="AA5" s="5"/>
      <c r="AB5" s="5"/>
      <c r="AC5" s="3"/>
      <c r="AE5" s="4"/>
      <c r="AF5" s="4"/>
      <c r="AG5" s="4"/>
      <c r="AH5" s="5"/>
      <c r="AI5" s="5"/>
      <c r="AJ5" s="5"/>
      <c r="AK5" s="4"/>
      <c r="AL5" s="4"/>
      <c r="AM5" s="4"/>
      <c r="AN5" s="5"/>
      <c r="AO5" s="5"/>
      <c r="AP5" s="5"/>
      <c r="AR5" s="4"/>
      <c r="AS5" s="4"/>
      <c r="AT5" s="4"/>
      <c r="AU5" s="5"/>
      <c r="AV5" s="5"/>
      <c r="AW5" s="5"/>
      <c r="AX5" s="4"/>
      <c r="AY5" s="4"/>
      <c r="AZ5" s="4"/>
      <c r="BA5" s="5"/>
      <c r="BB5" s="5"/>
      <c r="BC5" s="3"/>
    </row>
    <row r="6" spans="2:55" x14ac:dyDescent="0.25">
      <c r="B6" s="4"/>
      <c r="C6" s="4"/>
      <c r="D6" s="4"/>
      <c r="E6" s="5"/>
      <c r="F6" s="5"/>
      <c r="G6" s="5"/>
      <c r="H6" s="4"/>
      <c r="I6" s="4"/>
      <c r="J6" s="4"/>
      <c r="K6" s="5"/>
      <c r="L6" s="5"/>
      <c r="M6" s="5"/>
      <c r="N6" s="5"/>
      <c r="O6" s="5"/>
      <c r="P6" s="5"/>
      <c r="R6" s="4"/>
      <c r="S6" s="4"/>
      <c r="T6" s="4"/>
      <c r="U6" s="5"/>
      <c r="V6" s="5"/>
      <c r="W6" s="5"/>
      <c r="X6" s="4"/>
      <c r="Y6" s="4"/>
      <c r="Z6" s="4"/>
      <c r="AA6" s="5"/>
      <c r="AB6" s="5"/>
      <c r="AC6" s="3"/>
      <c r="AE6" s="4"/>
      <c r="AF6" s="4"/>
      <c r="AG6" s="4"/>
      <c r="AH6" s="5"/>
      <c r="AI6" s="5"/>
      <c r="AJ6" s="5"/>
      <c r="AK6" s="4"/>
      <c r="AL6" s="4"/>
      <c r="AM6" s="4"/>
      <c r="AN6" s="5"/>
      <c r="AO6" s="5"/>
      <c r="AP6" s="5"/>
      <c r="AR6" s="4"/>
      <c r="AS6" s="4"/>
      <c r="AT6" s="4"/>
      <c r="AU6" s="5"/>
      <c r="AV6" s="5"/>
      <c r="AW6" s="5"/>
      <c r="AX6" s="4"/>
      <c r="AY6" s="4"/>
      <c r="AZ6" s="4"/>
      <c r="BA6" s="5"/>
      <c r="BB6" s="5"/>
      <c r="BC6" s="3"/>
    </row>
    <row r="7" spans="2:55" x14ac:dyDescent="0.25">
      <c r="B7" s="4"/>
      <c r="C7" s="4"/>
      <c r="D7" s="4"/>
      <c r="E7" s="5"/>
      <c r="F7" s="5"/>
      <c r="G7" s="5"/>
      <c r="H7" s="4"/>
      <c r="I7" s="4"/>
      <c r="J7" s="4"/>
      <c r="K7" s="5"/>
      <c r="L7" s="5"/>
      <c r="M7" s="5"/>
      <c r="N7" s="5"/>
      <c r="O7" s="5"/>
      <c r="P7" s="5"/>
      <c r="R7" s="4"/>
      <c r="S7" s="4"/>
      <c r="T7" s="4"/>
      <c r="U7" s="5"/>
      <c r="V7" s="5"/>
      <c r="W7" s="5"/>
      <c r="X7" s="4"/>
      <c r="Y7" s="4"/>
      <c r="Z7" s="4"/>
      <c r="AA7" s="5"/>
      <c r="AB7" s="5"/>
      <c r="AC7" s="3"/>
      <c r="AE7" s="4"/>
      <c r="AF7" s="4"/>
      <c r="AG7" s="4"/>
      <c r="AH7" s="5"/>
      <c r="AI7" s="5"/>
      <c r="AJ7" s="5"/>
      <c r="AK7" s="4"/>
      <c r="AL7" s="4"/>
      <c r="AM7" s="4"/>
      <c r="AN7" s="5"/>
      <c r="AO7" s="5"/>
      <c r="AP7" s="5"/>
      <c r="AR7" s="4"/>
      <c r="AS7" s="4"/>
      <c r="AT7" s="4"/>
      <c r="AU7" s="5"/>
      <c r="AV7" s="5"/>
      <c r="AW7" s="5"/>
      <c r="AX7" s="4"/>
      <c r="AY7" s="4"/>
      <c r="AZ7" s="4"/>
      <c r="BA7" s="5"/>
      <c r="BB7" s="5"/>
      <c r="BC7" s="3"/>
    </row>
    <row r="8" spans="2:55" x14ac:dyDescent="0.25">
      <c r="B8" s="4"/>
      <c r="C8" s="4"/>
      <c r="D8" s="4"/>
      <c r="E8" s="5"/>
      <c r="F8" s="5"/>
      <c r="G8" s="5"/>
      <c r="H8" s="4"/>
      <c r="I8" s="4"/>
      <c r="J8" s="4"/>
      <c r="K8" s="5"/>
      <c r="L8" s="5"/>
      <c r="M8" s="5"/>
      <c r="N8" s="5"/>
      <c r="O8" s="5"/>
      <c r="P8" s="5"/>
      <c r="R8" s="4"/>
      <c r="S8" s="4"/>
      <c r="T8" s="4"/>
      <c r="U8" s="5"/>
      <c r="V8" s="5"/>
      <c r="W8" s="5"/>
      <c r="X8" s="4"/>
      <c r="Y8" s="4"/>
      <c r="Z8" s="4"/>
      <c r="AA8" s="5"/>
      <c r="AB8" s="5"/>
      <c r="AC8" s="3"/>
      <c r="AE8" s="4"/>
      <c r="AF8" s="4"/>
      <c r="AG8" s="4"/>
      <c r="AH8" s="5"/>
      <c r="AI8" s="5"/>
      <c r="AJ8" s="5"/>
      <c r="AK8" s="4"/>
      <c r="AL8" s="4"/>
      <c r="AM8" s="4"/>
      <c r="AN8" s="5"/>
      <c r="AO8" s="5"/>
      <c r="AP8" s="5"/>
      <c r="AR8" s="4"/>
      <c r="AS8" s="4"/>
      <c r="AT8" s="4"/>
      <c r="AU8" s="5"/>
      <c r="AV8" s="5"/>
      <c r="AW8" s="5"/>
      <c r="AX8" s="4"/>
      <c r="AY8" s="4"/>
      <c r="AZ8" s="4"/>
      <c r="BA8" s="5"/>
      <c r="BB8" s="5"/>
      <c r="BC8" s="3"/>
    </row>
    <row r="9" spans="2:55" x14ac:dyDescent="0.25">
      <c r="B9" s="4"/>
      <c r="C9" s="4"/>
      <c r="D9" s="4"/>
      <c r="E9" s="5"/>
      <c r="F9" s="5"/>
      <c r="G9" s="5"/>
      <c r="H9" s="4"/>
      <c r="I9" s="4"/>
      <c r="J9" s="4"/>
      <c r="K9" s="5"/>
      <c r="L9" s="5"/>
      <c r="M9" s="5"/>
      <c r="N9" s="5"/>
      <c r="O9" s="5"/>
      <c r="P9" s="5"/>
      <c r="R9" s="4"/>
      <c r="S9" s="4"/>
      <c r="T9" s="4"/>
      <c r="U9" s="5"/>
      <c r="V9" s="5"/>
      <c r="W9" s="5"/>
      <c r="X9" s="4"/>
      <c r="Y9" s="4"/>
      <c r="Z9" s="4"/>
      <c r="AA9" s="5"/>
      <c r="AB9" s="5"/>
      <c r="AC9" s="3"/>
      <c r="AE9" s="4"/>
      <c r="AF9" s="4"/>
      <c r="AG9" s="4"/>
      <c r="AH9" s="5"/>
      <c r="AI9" s="5"/>
      <c r="AJ9" s="5"/>
      <c r="AK9" s="4"/>
      <c r="AL9" s="4"/>
      <c r="AM9" s="4"/>
      <c r="AN9" s="5"/>
      <c r="AO9" s="5"/>
      <c r="AP9" s="5"/>
      <c r="AR9" s="4"/>
      <c r="AS9" s="4"/>
      <c r="AT9" s="4"/>
      <c r="AU9" s="5"/>
      <c r="AV9" s="5"/>
      <c r="AW9" s="5"/>
      <c r="AX9" s="4"/>
      <c r="AY9" s="4"/>
      <c r="AZ9" s="4"/>
      <c r="BA9" s="5"/>
      <c r="BB9" s="5"/>
      <c r="BC9" s="3"/>
    </row>
    <row r="10" spans="2:55" x14ac:dyDescent="0.25">
      <c r="B10" s="4"/>
      <c r="C10" s="4"/>
      <c r="D10" s="4"/>
      <c r="E10" s="5"/>
      <c r="F10" s="5"/>
      <c r="G10" s="5"/>
      <c r="H10" s="4"/>
      <c r="I10" s="4"/>
      <c r="J10" s="4"/>
      <c r="K10" s="5"/>
      <c r="L10" s="5"/>
      <c r="M10" s="5"/>
      <c r="N10" s="5"/>
      <c r="O10" s="5"/>
      <c r="P10" s="5"/>
      <c r="R10" s="4"/>
      <c r="S10" s="4"/>
      <c r="T10" s="4"/>
      <c r="U10" s="5"/>
      <c r="V10" s="5"/>
      <c r="W10" s="5"/>
      <c r="X10" s="4"/>
      <c r="Y10" s="4"/>
      <c r="Z10" s="4"/>
      <c r="AA10" s="5"/>
      <c r="AB10" s="5"/>
      <c r="AC10" s="3"/>
      <c r="AE10" s="4"/>
      <c r="AF10" s="4"/>
      <c r="AG10" s="4"/>
      <c r="AH10" s="5"/>
      <c r="AI10" s="5"/>
      <c r="AJ10" s="5"/>
      <c r="AK10" s="4"/>
      <c r="AL10" s="4"/>
      <c r="AM10" s="4"/>
      <c r="AN10" s="5"/>
      <c r="AO10" s="5"/>
      <c r="AP10" s="5"/>
      <c r="AR10" s="4"/>
      <c r="AS10" s="4"/>
      <c r="AT10" s="4"/>
      <c r="AU10" s="5"/>
      <c r="AV10" s="5"/>
      <c r="AW10" s="5"/>
      <c r="AX10" s="4"/>
      <c r="AY10" s="4"/>
      <c r="AZ10" s="4"/>
      <c r="BA10" s="5"/>
      <c r="BB10" s="5"/>
      <c r="BC10" s="3"/>
    </row>
    <row r="11" spans="2:55" x14ac:dyDescent="0.25">
      <c r="B11" s="4"/>
      <c r="C11" s="4"/>
      <c r="D11" s="4"/>
      <c r="E11" s="5"/>
      <c r="F11" s="5"/>
      <c r="G11" s="5"/>
      <c r="H11" s="4"/>
      <c r="I11" s="4"/>
      <c r="J11" s="4"/>
      <c r="K11" s="5"/>
      <c r="L11" s="5"/>
      <c r="M11" s="5"/>
      <c r="N11" s="5"/>
      <c r="O11" s="5"/>
      <c r="P11" s="5"/>
      <c r="R11" s="4"/>
      <c r="S11" s="4"/>
      <c r="T11" s="4"/>
      <c r="U11" s="5"/>
      <c r="V11" s="5"/>
      <c r="W11" s="5"/>
      <c r="X11" s="4"/>
      <c r="Y11" s="4"/>
      <c r="Z11" s="4"/>
      <c r="AA11" s="5"/>
      <c r="AB11" s="5"/>
      <c r="AC11" s="3"/>
      <c r="AE11" s="4"/>
      <c r="AF11" s="4"/>
      <c r="AG11" s="4"/>
      <c r="AH11" s="5"/>
      <c r="AI11" s="5"/>
      <c r="AJ11" s="5"/>
      <c r="AK11" s="4"/>
      <c r="AL11" s="4"/>
      <c r="AM11" s="4"/>
      <c r="AN11" s="5"/>
      <c r="AO11" s="5"/>
      <c r="AP11" s="5"/>
      <c r="AR11" s="4"/>
      <c r="AS11" s="4"/>
      <c r="AT11" s="4"/>
      <c r="AU11" s="5"/>
      <c r="AV11" s="5"/>
      <c r="AW11" s="5"/>
      <c r="AX11" s="4"/>
      <c r="AY11" s="4"/>
      <c r="AZ11" s="4"/>
      <c r="BA11" s="5"/>
      <c r="BB11" s="5"/>
      <c r="BC11" s="3"/>
    </row>
    <row r="12" spans="2:55" x14ac:dyDescent="0.25">
      <c r="B12" s="4"/>
      <c r="C12" s="4"/>
      <c r="D12" s="4"/>
      <c r="E12" s="5"/>
      <c r="F12" s="5"/>
      <c r="G12" s="5"/>
      <c r="H12" s="4"/>
      <c r="I12" s="4"/>
      <c r="J12" s="4"/>
      <c r="K12" s="5"/>
      <c r="L12" s="5"/>
      <c r="M12" s="5"/>
      <c r="N12" s="5"/>
      <c r="O12" s="5"/>
      <c r="P12" s="5"/>
      <c r="R12" s="4"/>
      <c r="S12" s="4"/>
      <c r="T12" s="4"/>
      <c r="U12" s="5"/>
      <c r="V12" s="5"/>
      <c r="W12" s="5"/>
      <c r="X12" s="4"/>
      <c r="Y12" s="4"/>
      <c r="Z12" s="4"/>
      <c r="AA12" s="5"/>
      <c r="AB12" s="5"/>
      <c r="AC12" s="3"/>
      <c r="AE12" s="4"/>
      <c r="AF12" s="4"/>
      <c r="AG12" s="4"/>
      <c r="AH12" s="5"/>
      <c r="AI12" s="5"/>
      <c r="AJ12" s="5"/>
      <c r="AK12" s="4"/>
      <c r="AL12" s="4"/>
      <c r="AM12" s="4"/>
      <c r="AN12" s="5"/>
      <c r="AO12" s="5"/>
      <c r="AP12" s="5"/>
      <c r="AR12" s="4"/>
      <c r="AS12" s="4"/>
      <c r="AT12" s="4"/>
      <c r="AU12" s="5"/>
      <c r="AV12" s="5"/>
      <c r="AW12" s="5"/>
      <c r="AX12" s="4"/>
      <c r="AY12" s="4"/>
      <c r="AZ12" s="4"/>
      <c r="BA12" s="5"/>
      <c r="BB12" s="5"/>
      <c r="BC12" s="3"/>
    </row>
    <row r="13" spans="2:55" x14ac:dyDescent="0.25">
      <c r="B13" s="4"/>
      <c r="C13" s="4"/>
      <c r="D13" s="4"/>
      <c r="E13" s="5"/>
      <c r="F13" s="5"/>
      <c r="G13" s="5"/>
      <c r="H13" s="4"/>
      <c r="I13" s="4"/>
      <c r="J13" s="4"/>
      <c r="K13" s="5"/>
      <c r="L13" s="5"/>
      <c r="M13" s="5"/>
      <c r="N13" s="5"/>
      <c r="O13" s="5"/>
      <c r="P13" s="5"/>
      <c r="R13" s="4"/>
      <c r="S13" s="4"/>
      <c r="T13" s="4"/>
      <c r="U13" s="5"/>
      <c r="V13" s="5"/>
      <c r="W13" s="5"/>
      <c r="X13" s="4"/>
      <c r="Y13" s="4"/>
      <c r="Z13" s="4"/>
      <c r="AA13" s="5"/>
      <c r="AB13" s="5"/>
      <c r="AC13" s="3"/>
      <c r="AE13" s="4"/>
      <c r="AF13" s="4"/>
      <c r="AG13" s="4"/>
      <c r="AH13" s="5"/>
      <c r="AI13" s="5"/>
      <c r="AJ13" s="5"/>
      <c r="AK13" s="4"/>
      <c r="AL13" s="4"/>
      <c r="AM13" s="4"/>
      <c r="AN13" s="5"/>
      <c r="AO13" s="5"/>
      <c r="AP13" s="5"/>
      <c r="AR13" s="4"/>
      <c r="AS13" s="4"/>
      <c r="AT13" s="4"/>
      <c r="AU13" s="5"/>
      <c r="AV13" s="5"/>
      <c r="AW13" s="5"/>
      <c r="AX13" s="4"/>
      <c r="AY13" s="4"/>
      <c r="AZ13" s="4"/>
      <c r="BA13" s="5"/>
      <c r="BB13" s="5"/>
      <c r="BC13" s="3"/>
    </row>
    <row r="14" spans="2:55" x14ac:dyDescent="0.25">
      <c r="B14" s="7"/>
      <c r="C14" s="7"/>
      <c r="D14" s="7"/>
    </row>
    <row r="15" spans="2:55" x14ac:dyDescent="0.25">
      <c r="B15" s="7"/>
      <c r="C15" s="7"/>
      <c r="D15" s="7"/>
    </row>
    <row r="16" spans="2:55" x14ac:dyDescent="0.25">
      <c r="B16" s="7"/>
      <c r="C16" s="7"/>
      <c r="D16" s="7"/>
    </row>
    <row r="17" spans="2:4" x14ac:dyDescent="0.25">
      <c r="B17" s="7"/>
      <c r="C17" s="7"/>
      <c r="D17" s="7"/>
    </row>
    <row r="18" spans="2:4" x14ac:dyDescent="0.25">
      <c r="B18" s="7"/>
      <c r="C18" s="7"/>
      <c r="D18" s="7"/>
    </row>
    <row r="19" spans="2:4" x14ac:dyDescent="0.25">
      <c r="B19" s="7"/>
      <c r="C19" s="7"/>
      <c r="D19" s="7"/>
    </row>
    <row r="20" spans="2:4" x14ac:dyDescent="0.25">
      <c r="B20" s="7"/>
      <c r="C20" s="7"/>
      <c r="D20" s="7"/>
    </row>
    <row r="21" spans="2:4" x14ac:dyDescent="0.25">
      <c r="B21" s="7"/>
      <c r="C21" s="7"/>
      <c r="D21" s="7"/>
    </row>
  </sheetData>
  <mergeCells count="21">
    <mergeCell ref="AK2:AM2"/>
    <mergeCell ref="B1:L1"/>
    <mergeCell ref="R1:AB1"/>
    <mergeCell ref="AE1:AO1"/>
    <mergeCell ref="AR1:BB1"/>
    <mergeCell ref="B2:D2"/>
    <mergeCell ref="E2:G2"/>
    <mergeCell ref="H2:J2"/>
    <mergeCell ref="K2:M2"/>
    <mergeCell ref="N2:P2"/>
    <mergeCell ref="R2:T2"/>
    <mergeCell ref="U2:W2"/>
    <mergeCell ref="X2:Z2"/>
    <mergeCell ref="AA2:AC2"/>
    <mergeCell ref="AE2:AG2"/>
    <mergeCell ref="AH2:AJ2"/>
    <mergeCell ref="AN2:AP2"/>
    <mergeCell ref="AR2:AT2"/>
    <mergeCell ref="AU2:AW2"/>
    <mergeCell ref="AX2:AZ2"/>
    <mergeCell ref="BA2:B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6C87A6682E6E4295773DFF29EAB41B" ma:contentTypeVersion="14" ma:contentTypeDescription="Create a new document." ma:contentTypeScope="" ma:versionID="a3213889016ec1ec7c5b45183b07d2a5">
  <xsd:schema xmlns:xsd="http://www.w3.org/2001/XMLSchema" xmlns:xs="http://www.w3.org/2001/XMLSchema" xmlns:p="http://schemas.microsoft.com/office/2006/metadata/properties" xmlns:ns3="3025f3fe-b3fc-4756-a98b-aaebe57fb6e3" xmlns:ns4="c7f849e2-0a63-4d53-be53-fb9d39becd19" targetNamespace="http://schemas.microsoft.com/office/2006/metadata/properties" ma:root="true" ma:fieldsID="39cf848dedf08b05fa72a945c282372c" ns3:_="" ns4:_="">
    <xsd:import namespace="3025f3fe-b3fc-4756-a98b-aaebe57fb6e3"/>
    <xsd:import namespace="c7f849e2-0a63-4d53-be53-fb9d39becd1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5f3fe-b3fc-4756-a98b-aaebe57fb6e3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849e2-0a63-4d53-be53-fb9d39becd1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50A870-1632-4D2D-B065-B299BA20F2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4F14C9-5422-45B5-82B0-09F318512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25f3fe-b3fc-4756-a98b-aaebe57fb6e3"/>
    <ds:schemaRef ds:uri="c7f849e2-0a63-4d53-be53-fb9d39becd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DataExp1.1</vt:lpstr>
      <vt:lpstr>Experiment 1.1</vt:lpstr>
      <vt:lpstr>DataExp1.2</vt:lpstr>
      <vt:lpstr>Experiment 1.2</vt:lpstr>
      <vt:lpstr>DataExp2</vt:lpstr>
      <vt:lpstr>Experiment 2</vt:lpstr>
      <vt:lpstr>Experiment 3</vt:lpstr>
      <vt:lpstr>DataExp4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Vo, Lucius</dc:creator>
  <cp:lastModifiedBy>Quang-Nguyen Vo-Huynh</cp:lastModifiedBy>
  <dcterms:created xsi:type="dcterms:W3CDTF">2024-09-13T15:53:41Z</dcterms:created>
  <dcterms:modified xsi:type="dcterms:W3CDTF">2024-10-19T02:43:42Z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0x010100A16C87A6682E6E4295773DFF29EAB41B</vt:lpwstr>
  </property>
  <property fmtid="{D5CDD505-2E9C-101B-9397-08002B2CF9AE}" pid="3" name="_activity">
    <vt:lpwstr/>
  </property>
</Properties>
</file>